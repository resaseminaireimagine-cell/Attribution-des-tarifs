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ôle évènementiel\2. ATTRIBUTION TARIFS\2. ARBITRAGE\4. HISTORIQUE D'ATTRIBUTION\"/>
    </mc:Choice>
  </mc:AlternateContent>
  <xr:revisionPtr revIDLastSave="0" documentId="13_ncr:1_{DEF5EBBC-DD47-4EA3-9DB5-FCFBB2E541BA}" xr6:coauthVersionLast="47" xr6:coauthVersionMax="47" xr10:uidLastSave="{00000000-0000-0000-0000-000000000000}"/>
  <bookViews>
    <workbookView showHorizontalScroll="0" showVerticalScroll="0" showSheetTabs="0" xWindow="22932" yWindow="-108" windowWidth="30936" windowHeight="16776" xr2:uid="{089A4468-858D-420E-BC6E-E2C7E99DAAF9}"/>
  </bookViews>
  <sheets>
    <sheet name="Feuil1" sheetId="1" r:id="rId1"/>
  </sheets>
  <definedNames>
    <definedName name="_xlnm._FilterDatabase" localSheetId="0" hidden="1">Feuil1!$A$15:$F$1565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" l="1"/>
  <c r="C8" i="1"/>
  <c r="C7" i="1"/>
  <c r="C6" i="1"/>
  <c r="C5" i="1"/>
  <c r="F162" i="1" l="1"/>
  <c r="F774" i="1"/>
  <c r="F772" i="1"/>
  <c r="F766" i="1"/>
  <c r="F332" i="1" l="1"/>
  <c r="F368" i="1"/>
  <c r="F349" i="1"/>
  <c r="F336" i="1"/>
  <c r="F335" i="1"/>
  <c r="F323" i="1"/>
  <c r="F309" i="1"/>
  <c r="F308" i="1"/>
  <c r="F305" i="1"/>
  <c r="F302" i="1"/>
  <c r="F289" i="1"/>
  <c r="F276" i="1"/>
  <c r="F265" i="1"/>
  <c r="F198" i="1" l="1"/>
  <c r="F196" i="1"/>
  <c r="F188" i="1"/>
  <c r="F186" i="1"/>
  <c r="F183" i="1"/>
  <c r="F179" i="1"/>
  <c r="F177" i="1"/>
  <c r="F174" i="1"/>
  <c r="F173" i="1"/>
  <c r="F170" i="1"/>
  <c r="F168" i="1"/>
  <c r="F165" i="1"/>
  <c r="F159" i="1"/>
  <c r="F154" i="1"/>
  <c r="F144" i="1"/>
  <c r="F135" i="1"/>
  <c r="F126" i="1"/>
  <c r="F106" i="1"/>
  <c r="F99" i="1"/>
  <c r="F90" i="1"/>
  <c r="F89" i="1"/>
  <c r="F75" i="1"/>
  <c r="F69" i="1"/>
  <c r="E195" i="1"/>
  <c r="F195" i="1" s="1"/>
  <c r="E149" i="1"/>
  <c r="F149" i="1" s="1"/>
  <c r="E74" i="1"/>
  <c r="B13" i="1" s="1"/>
  <c r="B4" i="1" l="1"/>
  <c r="E3" i="1"/>
  <c r="F74" i="1"/>
  <c r="B14" i="1" s="1"/>
  <c r="E6" i="1"/>
  <c r="E9" i="1"/>
  <c r="E8" i="1"/>
  <c r="E7" i="1"/>
  <c r="E5" i="1" l="1"/>
</calcChain>
</file>

<file path=xl/sharedStrings.xml><?xml version="1.0" encoding="utf-8"?>
<sst xmlns="http://schemas.openxmlformats.org/spreadsheetml/2006/main" count="6516" uniqueCount="2139">
  <si>
    <t>DATE</t>
  </si>
  <si>
    <t>NOM</t>
  </si>
  <si>
    <t>TYPE TARIF</t>
  </si>
  <si>
    <t>CONTACT</t>
  </si>
  <si>
    <t>MONTANT HT</t>
  </si>
  <si>
    <t>MONTANT TTC</t>
  </si>
  <si>
    <t>AFIRNE</t>
  </si>
  <si>
    <t xml:space="preserve">Société francaise d'endodontie </t>
  </si>
  <si>
    <t>Georges Laux</t>
  </si>
  <si>
    <t xml:space="preserve">Sofinnovapartner </t>
  </si>
  <si>
    <t>American Express Voyages (Bms)</t>
  </si>
  <si>
    <t xml:space="preserve">Logitrade (Bms) </t>
  </si>
  <si>
    <t>Venise Evenements (LFB)</t>
  </si>
  <si>
    <t>Particulier</t>
  </si>
  <si>
    <t>mi-aca/mi-externe</t>
  </si>
  <si>
    <t>JP. Mallet (Mr)</t>
  </si>
  <si>
    <t>E.Duheille (Mme)</t>
  </si>
  <si>
    <t xml:space="preserve">Lisa Braghi/ O.Hermine </t>
  </si>
  <si>
    <t>Dr Thu Huyen Nguyen</t>
  </si>
  <si>
    <t>Amelie Ferrier (Mme)</t>
  </si>
  <si>
    <t xml:space="preserve">APHP Bernard Golse </t>
  </si>
  <si>
    <t xml:space="preserve">Prêt d'union </t>
  </si>
  <si>
    <t>Artur</t>
  </si>
  <si>
    <t>Afirne</t>
  </si>
  <si>
    <t>Zurich France</t>
  </si>
  <si>
    <t>Franck Ruemmele GFHGNP</t>
  </si>
  <si>
    <t xml:space="preserve">Jumeaux et plus </t>
  </si>
  <si>
    <t>AOJBC Necker Pasteur</t>
  </si>
  <si>
    <t>Be Sunshine</t>
  </si>
  <si>
    <t>Agence Choyou pour Salesforce</t>
  </si>
  <si>
    <t>MATWIN</t>
  </si>
  <si>
    <t>Groupe de recherche interdisciplinaire sur les maladie neuromusculaire (GRIMN)</t>
  </si>
  <si>
    <t>Association Séminaires de génétique à Necker (SEMILOG)</t>
  </si>
  <si>
    <t>Materis Paints-Cromology</t>
  </si>
  <si>
    <t>Association Vaincre les maladies Lysosomales- VML</t>
  </si>
  <si>
    <t>Journée MRKH</t>
  </si>
  <si>
    <t>Thermo Fischer</t>
  </si>
  <si>
    <t>Assocation Geniris</t>
  </si>
  <si>
    <t>Salesforce</t>
  </si>
  <si>
    <t>Alexion</t>
  </si>
  <si>
    <t>UBS</t>
  </si>
  <si>
    <t>SFR Necker</t>
  </si>
  <si>
    <t xml:space="preserve">Prix APHP </t>
  </si>
  <si>
    <t>association</t>
  </si>
  <si>
    <t xml:space="preserve">mi/académique </t>
  </si>
  <si>
    <t>Prix negocié</t>
  </si>
  <si>
    <t>Necker</t>
  </si>
  <si>
    <t xml:space="preserve">Isabelle Janin </t>
  </si>
  <si>
    <t>Frederic Chaignon</t>
  </si>
  <si>
    <t>Michèle Thomas</t>
  </si>
  <si>
    <t xml:space="preserve">Sandrine Kletz </t>
  </si>
  <si>
    <t>Manuela LeMaignan</t>
  </si>
  <si>
    <t xml:space="preserve">Franck Ruemmele </t>
  </si>
  <si>
    <t>Paul Jabert</t>
  </si>
  <si>
    <t>Dominique Briquet</t>
  </si>
  <si>
    <t>Aurélie Tellier</t>
  </si>
  <si>
    <t>Olivier Ngyen Van Tan</t>
  </si>
  <si>
    <t>Lucia Robert</t>
  </si>
  <si>
    <t>Pr Cynthia Gagnon</t>
  </si>
  <si>
    <t>Pr Stanislas Lyonnet</t>
  </si>
  <si>
    <t>Marie-Jeanne Onfray</t>
  </si>
  <si>
    <t>Anne-Sophie Lapointe</t>
  </si>
  <si>
    <t>Mme Viaud Magali</t>
  </si>
  <si>
    <t>Charlène Emmanuelli</t>
  </si>
  <si>
    <t>Gaelle Jouanjan</t>
  </si>
  <si>
    <t>Lauren Pradier</t>
  </si>
  <si>
    <t>Sandrine Démoulin</t>
  </si>
  <si>
    <t>Valérie STEIMLE</t>
  </si>
  <si>
    <t>Stéphanie Massare</t>
  </si>
  <si>
    <t>-</t>
  </si>
  <si>
    <t>Inserm</t>
  </si>
  <si>
    <t>Imagine</t>
  </si>
  <si>
    <t>INEM/Necker</t>
  </si>
  <si>
    <t>Ministère de la Santé</t>
  </si>
  <si>
    <t>Association des Juniors en Pédiatrie</t>
  </si>
  <si>
    <t>Barro Sow (Mme)</t>
  </si>
  <si>
    <t>Quartier Dit Maire Pierre</t>
  </si>
  <si>
    <t>Marie Bernadette Madras</t>
  </si>
  <si>
    <t>Géraldine Mollet</t>
  </si>
  <si>
    <t>Genevieve Gourdon</t>
  </si>
  <si>
    <t>Mr Davoust Jean</t>
  </si>
  <si>
    <t>Madame Banal</t>
  </si>
  <si>
    <t>Emmanuel d'Orsay</t>
  </si>
  <si>
    <t>Matthieu Bendavid (Demande du Pr JM Tréluyer)</t>
  </si>
  <si>
    <t>Gratuit</t>
  </si>
  <si>
    <t>SOFFOET</t>
  </si>
  <si>
    <t>ESPGHAN</t>
  </si>
  <si>
    <t>Bristol-Myers Squibb</t>
  </si>
  <si>
    <t>Association A.R.E.H.B. - Journée maladies rares</t>
  </si>
  <si>
    <t>TECHSTARS CENTRAL LLC- Weekend Start Up</t>
  </si>
  <si>
    <t>Merck Serono</t>
  </si>
  <si>
    <t>Centre de référence de rhumatologie pédiatrique - ASSOCIATION ADRI</t>
  </si>
  <si>
    <t xml:space="preserve">Association Artur </t>
  </si>
  <si>
    <t>Integragen</t>
  </si>
  <si>
    <t>Concert Stéphanie De Buffévent</t>
  </si>
  <si>
    <t>Takeda France</t>
  </si>
  <si>
    <t>Illumina</t>
  </si>
  <si>
    <t>Groupe Pasteur Mutualité</t>
  </si>
  <si>
    <t>Association RVRH-XLH</t>
  </si>
  <si>
    <t>Echanges et Cohérences</t>
  </si>
  <si>
    <t>INSERM FORMATION</t>
  </si>
  <si>
    <t xml:space="preserve">ASSOCIATION G5 Santé </t>
  </si>
  <si>
    <t>SAS BE SUNSHINE - Astellas Pharma</t>
  </si>
  <si>
    <t>PICTET</t>
  </si>
  <si>
    <t>Inserm transfert</t>
  </si>
  <si>
    <t>Perkin Elmer</t>
  </si>
  <si>
    <t>Cabinet Nextep</t>
  </si>
  <si>
    <t>Congrès Ventilation noninvasive (VNI)</t>
  </si>
  <si>
    <t>GFHGNP</t>
  </si>
  <si>
    <t>Plan Fondation Alzheimer</t>
  </si>
  <si>
    <t>UHJ France - AFIRNE</t>
  </si>
  <si>
    <t>Vaincre les maladies lysosomales</t>
  </si>
  <si>
    <t>Meeting of the British Association of Pediatric Nephrology and the French Society of Pediatric Neprology</t>
  </si>
  <si>
    <t>Ipsen</t>
  </si>
  <si>
    <t>BioMarin</t>
  </si>
  <si>
    <t>Journée de sensibilisation à la recherche du collège des pédiatres universitaires</t>
  </si>
  <si>
    <t>Séminaire Vitalaire</t>
  </si>
  <si>
    <t>Ceredih</t>
  </si>
  <si>
    <t>Fillière AnDDi Rare</t>
  </si>
  <si>
    <t>Conférence scientifique Arnold</t>
  </si>
  <si>
    <t xml:space="preserve">Soutenance HDR-Dr Shen-Ying Zhang </t>
  </si>
  <si>
    <t>Ceremast</t>
  </si>
  <si>
    <t>Filière G2M</t>
  </si>
  <si>
    <t>Filière Oscar</t>
  </si>
  <si>
    <t>DES de Génétique</t>
  </si>
  <si>
    <t>Séminaire Pierre Royer</t>
  </si>
  <si>
    <t>Journée de travail des secrétaires-gestionnaires-généraux"- INSERM</t>
  </si>
  <si>
    <t>Séminaire Pierre Royer de 37eme séminaire cardiopédiatrie (Pr Damien Bonnet)</t>
  </si>
  <si>
    <t>Journée de la filière de Santé Filnemus</t>
  </si>
  <si>
    <t xml:space="preserve">Demi-Journée Centre de référence CERHUMIP </t>
  </si>
  <si>
    <t>Journée nationale de la filière OSCAR</t>
  </si>
  <si>
    <t>Filière G2M- Maladies Héréditaires du Métabolisme</t>
  </si>
  <si>
    <t>Séminaire Pierre Royer- Unité d'immunologie, hématologie et rhumatologie pédiatriques</t>
  </si>
  <si>
    <t xml:space="preserve">Eurogenetics Meeting </t>
  </si>
  <si>
    <t>Association Filière AnDDI Rares+ Medico social du 3ème jeudi</t>
  </si>
  <si>
    <t>Symposium des laboratoires de la Filière Oscar + INTERMOC</t>
  </si>
  <si>
    <t>Centre de référence OPHTARA</t>
  </si>
  <si>
    <t>Dr Richard DELARUE- LYSA</t>
  </si>
  <si>
    <t>Filière FIMARAD</t>
  </si>
  <si>
    <t>Filière AnDDi-Rares</t>
  </si>
  <si>
    <t>Pr Sabine Sarnacki</t>
  </si>
  <si>
    <t>HEC</t>
  </si>
  <si>
    <t>Association des Journalistes Scientifiques de la Presse de l'Information</t>
  </si>
  <si>
    <t>Necker- Maladies Métaboliques</t>
  </si>
  <si>
    <t>FINOVATIS</t>
  </si>
  <si>
    <t>Université Paris Descartes</t>
  </si>
  <si>
    <t>Soffoet</t>
  </si>
  <si>
    <t>URC-CIC</t>
  </si>
  <si>
    <t>Jeudi de la génétique</t>
  </si>
  <si>
    <t>Séminaire du lundi</t>
  </si>
  <si>
    <t>congrès des jeunes chercheurs</t>
  </si>
  <si>
    <t>Réunion GDR CIL Symposium</t>
  </si>
  <si>
    <t>Séminaire ambulatoire APHP</t>
  </si>
  <si>
    <t>Réunion Transition Filière DG Necker</t>
  </si>
  <si>
    <t>Comité des DRH APHP</t>
  </si>
  <si>
    <t xml:space="preserve">Rencontre Maladies Rares </t>
  </si>
  <si>
    <t>Echecs Imagine</t>
  </si>
  <si>
    <t>DESC- Pr Romana</t>
  </si>
  <si>
    <t>SAB Meeting</t>
  </si>
  <si>
    <t>CEREMAST</t>
  </si>
  <si>
    <t>Diner Congrès d'Immunologie</t>
  </si>
  <si>
    <t>Filnemus</t>
  </si>
  <si>
    <t>Journée Filière Transition</t>
  </si>
  <si>
    <t>CEREDIH</t>
  </si>
  <si>
    <t>Tarif académique</t>
  </si>
  <si>
    <t>Muriel Girard</t>
  </si>
  <si>
    <t>Laura touati</t>
  </si>
  <si>
    <t>Anne-Florence Bellais</t>
  </si>
  <si>
    <t>Dr Benjamin Viaris de Lesegno</t>
  </si>
  <si>
    <t>Sylvie Sirolli</t>
  </si>
  <si>
    <t>Pr Pierre Quartier</t>
  </si>
  <si>
    <t>Sandrine Demoulins</t>
  </si>
  <si>
    <t>Capera Celine</t>
  </si>
  <si>
    <t>Stéphanie de Buffévent</t>
  </si>
  <si>
    <t>Lucinda de Bouard</t>
  </si>
  <si>
    <t>Florence Mazzarese</t>
  </si>
  <si>
    <t>Nathalie Belloc</t>
  </si>
  <si>
    <t>Pol Harvengt</t>
  </si>
  <si>
    <t>Catherine Zelechowski</t>
  </si>
  <si>
    <t>Francoise CLARISSE</t>
  </si>
  <si>
    <t>Laurence Mauduit</t>
  </si>
  <si>
    <t xml:space="preserve">Grace </t>
  </si>
  <si>
    <t>Sandrine Graff</t>
  </si>
  <si>
    <t>Evelyne de Bouteiller</t>
  </si>
  <si>
    <t>Nabila RADJAI</t>
  </si>
  <si>
    <t>Brigitte Fauroux</t>
  </si>
  <si>
    <t>Jerry Pichot</t>
  </si>
  <si>
    <t>Mélanie Varlet</t>
  </si>
  <si>
    <t>Sandrine Kletz</t>
  </si>
  <si>
    <t>Anne Sophie Lapointe</t>
  </si>
  <si>
    <t>Rémi Salomon</t>
  </si>
  <si>
    <t>Chloé Lemaire</t>
  </si>
  <si>
    <t>N'déné KOBE</t>
  </si>
  <si>
    <t>Alexandre Ben Merah</t>
  </si>
  <si>
    <t>Véronique Richard</t>
  </si>
  <si>
    <t>Rebecca Gene</t>
  </si>
  <si>
    <t>Alain Fishcer</t>
  </si>
  <si>
    <t>Pr Quartier</t>
  </si>
  <si>
    <t>Prévention et Dépistage de la Drépanocytose</t>
  </si>
  <si>
    <t>AG de la filière de santé maladies rares G2M</t>
  </si>
  <si>
    <t>BioMarin Europe Ltd.</t>
  </si>
  <si>
    <t>Guillaume LEZMI - Sce Pneumologie Allergologie Pédiatrique Necker</t>
  </si>
  <si>
    <t>Ceremast-Lab. Hermine</t>
  </si>
  <si>
    <t>Conseil scientifique - président Yanick Crow - Assoc.ELA France</t>
  </si>
  <si>
    <t>Réunion annuelle de CRMR "surdités génétiques</t>
  </si>
  <si>
    <t xml:space="preserve">Caisse des dépôts </t>
  </si>
  <si>
    <t>Réunion de travail des CRMR IDF et Associations</t>
  </si>
  <si>
    <t>Andre Duradas / Corinne Antignac - EURenOMics Dissemination</t>
  </si>
  <si>
    <t>Florence Riccardi, présidente de la SIGF - Conférence métier conseiller en génétique</t>
  </si>
  <si>
    <t>SFR Necker - Stéphanie Massare - Réunion des équipes de l'INEM</t>
  </si>
  <si>
    <t>Réunion "Dessine moi un mouton" - Dr Nizar Mahlaoui</t>
  </si>
  <si>
    <t>HEC santé</t>
  </si>
  <si>
    <t>HDR Despina Moshous-Labo de Jean-Pierre de Vilartay</t>
  </si>
  <si>
    <t>Carole Requillard - Direction du Pilotage et de la Transformation - Necker</t>
  </si>
  <si>
    <t>Didier Pouderoux - Service Maîtrise d'ouvrage APHP - via S. Paillet</t>
  </si>
  <si>
    <t>Centre de référence IDF-Filière G2M</t>
  </si>
  <si>
    <t>Tous à l'école</t>
  </si>
  <si>
    <t>Journée Recherche Clinique et entrepôt de données</t>
  </si>
  <si>
    <t xml:space="preserve">SIGF </t>
  </si>
  <si>
    <t>Séminaire "Urgences" APHP</t>
  </si>
  <si>
    <t>Coopération et Santé</t>
  </si>
  <si>
    <t>Cloud Santé Netplus</t>
  </si>
  <si>
    <t>AFCOS</t>
  </si>
  <si>
    <t>2ème Forum Recherche Translationnelle OSCAR</t>
  </si>
  <si>
    <t>Réunion ONCOMOLPATH</t>
  </si>
  <si>
    <t>Colloque Les troubles du comportement de l'enfant et de l'adolescent: un défi pour la psychopathologie</t>
  </si>
  <si>
    <t>Conférence scientifique- Alexion</t>
  </si>
  <si>
    <t>Société des Jeunes ORL Parisiens</t>
  </si>
  <si>
    <t>Tournage Cloud Santé Plus</t>
  </si>
  <si>
    <t>Plein tarif</t>
  </si>
  <si>
    <t>Filière FILNEMUS</t>
  </si>
  <si>
    <t>Journée CERHUMIP</t>
  </si>
  <si>
    <t>Alliance Syndrome de Dravet</t>
  </si>
  <si>
    <t>Filière Neurosphinx</t>
  </si>
  <si>
    <t>Inserm-  Journée Recherche et Santé</t>
  </si>
  <si>
    <t>Congrès - Dr Elise TORDJMAN</t>
  </si>
  <si>
    <t>APHP Siège- Séminaire RAAC</t>
  </si>
  <si>
    <t>ERS- European Respiratory Society (VNI)</t>
  </si>
  <si>
    <t>Jacquin Caroline</t>
  </si>
  <si>
    <t>Brigitte BaderMeunier</t>
  </si>
  <si>
    <t>Anne-Sophie Hallet</t>
  </si>
  <si>
    <t>Florine Bourgeois</t>
  </si>
  <si>
    <t>Laure Tharel</t>
  </si>
  <si>
    <t>Pascale de Lonlay</t>
  </si>
  <si>
    <t>Jean-Guilhem Claret</t>
  </si>
  <si>
    <t>Evelyne Bouteiller</t>
  </si>
  <si>
    <t>Amandine Farges</t>
  </si>
  <si>
    <t>Anne Deglaire</t>
  </si>
  <si>
    <t>Dr Lisa OUSS</t>
  </si>
  <si>
    <t>Amine Harichane</t>
  </si>
  <si>
    <t>ASTELLAS PHARMA</t>
  </si>
  <si>
    <t>Concours National des Internes d'ORL</t>
  </si>
  <si>
    <t>Journée de biologie Clinique AOJBC</t>
  </si>
  <si>
    <t>Filière ORKID</t>
  </si>
  <si>
    <t>Workshop Calym-Imagine</t>
  </si>
  <si>
    <t>Conférence de presse Imagine</t>
  </si>
  <si>
    <t>CRMR Drépanocytose</t>
  </si>
  <si>
    <t>Journée maladie rare Hématologie</t>
  </si>
  <si>
    <t>APHP.5 Génétique</t>
  </si>
  <si>
    <t>Sensgene</t>
  </si>
  <si>
    <t>Préparation HCERES</t>
  </si>
  <si>
    <t>HBKU</t>
  </si>
  <si>
    <t>Bristol Myers Squibb Colloque Immunité</t>
  </si>
  <si>
    <t>Congrès UNSED (Union Nat. Des Syndromes d'Ehlers-Danlos</t>
  </si>
  <si>
    <t>Réunion IPSEN</t>
  </si>
  <si>
    <t>Colloque Epilepsie</t>
  </si>
  <si>
    <t>Labex GR-Ex</t>
  </si>
  <si>
    <t>2ème journée Innovation en cancérologie APHP</t>
  </si>
  <si>
    <t>3ème Rencontre des Associations OSCAR</t>
  </si>
  <si>
    <t>Asso Ostéogenèse imparfaite + CRMR OSCAR</t>
  </si>
  <si>
    <t>Espace éthique IDF</t>
  </si>
  <si>
    <t>HCERES</t>
  </si>
  <si>
    <t>Pierre Royer Génétique</t>
  </si>
  <si>
    <t>Pierre Royer Néphrologie Pédiatrique</t>
  </si>
  <si>
    <t>Pierre Royer Cardiologie Pédiatrique</t>
  </si>
  <si>
    <t>Remise d'insigne As Lapointe</t>
  </si>
  <si>
    <t>Soutenance de thèse Christelle Tamby</t>
  </si>
  <si>
    <t>Centre de référence epilepsies rares- Pr Nabbout</t>
  </si>
  <si>
    <t>Journée biannuelle du Groupe de Pédiatrie Générale</t>
  </si>
  <si>
    <t>8ème journée de Pompe</t>
  </si>
  <si>
    <t>SFR NECKER</t>
  </si>
  <si>
    <t>Association ARTuR</t>
  </si>
  <si>
    <t>Pierre Royer Immunologie Hématologie Rhumatologie Pédiatriques</t>
  </si>
  <si>
    <t>European Children's Hospitals Organisation (Direction Necker)</t>
  </si>
  <si>
    <t>Délégation Saoudienne</t>
  </si>
  <si>
    <t>France Biotech</t>
  </si>
  <si>
    <t>Biomnis Stanislas</t>
  </si>
  <si>
    <t>HKS Meeting</t>
  </si>
  <si>
    <t>CUMP- SAMU</t>
  </si>
  <si>
    <t>Réunion coordonnateurs de CMR de l'APHP</t>
  </si>
  <si>
    <t>Le Point</t>
  </si>
  <si>
    <t>AG AnDDi-Rares</t>
  </si>
  <si>
    <t>GFCO- AFAQAP</t>
  </si>
  <si>
    <t>Hommage à JJ Robert</t>
  </si>
  <si>
    <t>Congrès YRII</t>
  </si>
  <si>
    <t xml:space="preserve">Soffoet </t>
  </si>
  <si>
    <t>abcam</t>
  </si>
  <si>
    <t>Congrès des apprentis Chercheurs</t>
  </si>
  <si>
    <t>Directeurs CHU</t>
  </si>
  <si>
    <t>Tebu bio</t>
  </si>
  <si>
    <t>GETAID</t>
  </si>
  <si>
    <t>10x Genomics</t>
  </si>
  <si>
    <t>APEARS</t>
  </si>
  <si>
    <t>Filière MHEMO</t>
  </si>
  <si>
    <t>Inserm Christelle Salles</t>
  </si>
  <si>
    <t>Association NOC</t>
  </si>
  <si>
    <t>Association OSCAR et MOC</t>
  </si>
  <si>
    <t xml:space="preserve">Levée de fond </t>
  </si>
  <si>
    <t>Soutenance de thèse Hicham Lamrini</t>
  </si>
  <si>
    <t>Soutenance de thèse Lucie Yamine</t>
  </si>
  <si>
    <t>Journée Allergologie</t>
  </si>
  <si>
    <t>AMPS</t>
  </si>
  <si>
    <t>Soutenance de thèse Gweltas Odye</t>
  </si>
  <si>
    <t>SIGF</t>
  </si>
  <si>
    <t xml:space="preserve">AhR Meeting </t>
  </si>
  <si>
    <t>Sigolène Meilhac</t>
  </si>
  <si>
    <t>Soutenance de thèse Daniel Medina Cano</t>
  </si>
  <si>
    <t>MEDICEN</t>
  </si>
  <si>
    <t>Isabelle André Schmutz</t>
  </si>
  <si>
    <t>Soutenance de thèse Leslie Weber</t>
  </si>
  <si>
    <t>Réunion CRMR-  Dr marlin</t>
  </si>
  <si>
    <t>Journée Recherche G2M</t>
  </si>
  <si>
    <t>CRMR OPHTARA</t>
  </si>
  <si>
    <t>Siège APHP</t>
  </si>
  <si>
    <t>Plateforme maladies rares Véronique Richard</t>
  </si>
  <si>
    <t>CA IDF</t>
  </si>
  <si>
    <t>Des de pédiatrie</t>
  </si>
  <si>
    <t>BNDMR</t>
  </si>
  <si>
    <t xml:space="preserve">4ème journée nationnal OSCAR </t>
  </si>
  <si>
    <t>ERN ITHACA</t>
  </si>
  <si>
    <t>Journée Association AnDDi-Rares</t>
  </si>
  <si>
    <t>Comité valorisation</t>
  </si>
  <si>
    <t>Cloud Santé</t>
  </si>
  <si>
    <t>Filière TETECOU</t>
  </si>
  <si>
    <t>Siège APHP- RAAX</t>
  </si>
  <si>
    <t>GETAID Pediatrique</t>
  </si>
  <si>
    <t>Journée Hemato</t>
  </si>
  <si>
    <t>Soutenance de thèse Lara de tomasi</t>
  </si>
  <si>
    <t>Soutenance de thèse Louise Reilly</t>
  </si>
  <si>
    <t>Soutenance de thèse Clarisse Ganier</t>
  </si>
  <si>
    <t>Séminaire Urgences APHP</t>
  </si>
  <si>
    <t>Journée de Neurosciences (Nadia Bahi-Buisson)</t>
  </si>
  <si>
    <t>JN Mastocytose</t>
  </si>
  <si>
    <t>Réunion ONCOMOLPATH APHP</t>
  </si>
  <si>
    <t xml:space="preserve">MAST CELL BASOPHILE </t>
  </si>
  <si>
    <t>Soutenance de thèse About Frédégonde</t>
  </si>
  <si>
    <t>CMR RAISE</t>
  </si>
  <si>
    <t xml:space="preserve">AFIRNE </t>
  </si>
  <si>
    <t>CCNE</t>
  </si>
  <si>
    <t>Ministère du travail</t>
  </si>
  <si>
    <t>Soutenance de thèse Julien Frégeac</t>
  </si>
  <si>
    <t>INSERM</t>
  </si>
  <si>
    <t>Clés du Lysosomes- VML</t>
  </si>
  <si>
    <t xml:space="preserve">Journée maladie rare  </t>
  </si>
  <si>
    <t>Dessine moi un mouton</t>
  </si>
  <si>
    <t>Filière NeuroSphinx</t>
  </si>
  <si>
    <t>Fondation Plan Alzheimer</t>
  </si>
  <si>
    <t xml:space="preserve">Dr Warehouse </t>
  </si>
  <si>
    <t>AG Asso sportive</t>
  </si>
  <si>
    <t>Filière OSCAR</t>
  </si>
  <si>
    <t>URC/CIC</t>
  </si>
  <si>
    <t>Réunion valorisation</t>
  </si>
  <si>
    <t>CRMR Surdité génétique</t>
  </si>
  <si>
    <t>Hospitalisation à domicile</t>
  </si>
  <si>
    <t>Le Rire Médecin</t>
  </si>
  <si>
    <t>Pacific Biosciences</t>
  </si>
  <si>
    <t>Eurobio Ingen</t>
  </si>
  <si>
    <t>Club Mastocytes</t>
  </si>
  <si>
    <t>OSCAR + MOC</t>
  </si>
  <si>
    <t>Care Insight</t>
  </si>
  <si>
    <t>Pr Francoise Denoyelle</t>
  </si>
  <si>
    <t>Jenifer Radenac</t>
  </si>
  <si>
    <t>Laurence Naiglin</t>
  </si>
  <si>
    <t>Ines Ben Aissa</t>
  </si>
  <si>
    <t xml:space="preserve">Emmanuelle Roubertie </t>
  </si>
  <si>
    <t>Joel Veiga</t>
  </si>
  <si>
    <t>Dr Galula</t>
  </si>
  <si>
    <t>Emmanuel Hirsch</t>
  </si>
  <si>
    <t>Laurence Legeais-Mallet</t>
  </si>
  <si>
    <t>Dr Bajolle</t>
  </si>
  <si>
    <t>Pr Rima Nabbout</t>
  </si>
  <si>
    <t>Pascal Laforet</t>
  </si>
  <si>
    <t xml:space="preserve">Michaela Corrias </t>
  </si>
  <si>
    <t>Didier Géneau</t>
  </si>
  <si>
    <t>Yelena Nemirovskaya</t>
  </si>
  <si>
    <t>Yannick Chamand</t>
  </si>
  <si>
    <t>Audrey Nugue</t>
  </si>
  <si>
    <t>Etienne Rouleau</t>
  </si>
  <si>
    <t>Karine Meynard</t>
  </si>
  <si>
    <t xml:space="preserve">Serrure Christelle </t>
  </si>
  <si>
    <t>Karine Lemarchand</t>
  </si>
  <si>
    <t>Frank Ruemmele</t>
  </si>
  <si>
    <t>Dr Beauquier</t>
  </si>
  <si>
    <t>Stéphanie Ringenbach</t>
  </si>
  <si>
    <t>Guillaume Lezmi</t>
  </si>
  <si>
    <t>Max Piffoux</t>
  </si>
  <si>
    <t>Perinne Brunelle</t>
  </si>
  <si>
    <t>Catherine Pansera</t>
  </si>
  <si>
    <t>Laury Soupraya</t>
  </si>
  <si>
    <t>Sophie Villedieu</t>
  </si>
  <si>
    <t>Azza Khemiri</t>
  </si>
  <si>
    <t>Pr Bremond Gignac</t>
  </si>
  <si>
    <t>Alain Levallois</t>
  </si>
  <si>
    <t>Céline ANGIN</t>
  </si>
  <si>
    <t xml:space="preserve">Jerry Pichot </t>
  </si>
  <si>
    <t>Jean-Ghuilem Claret</t>
  </si>
  <si>
    <t>Myriam de Chalendar</t>
  </si>
  <si>
    <t>Carole Ligier</t>
  </si>
  <si>
    <t>Caroline Jacquin</t>
  </si>
  <si>
    <t>Olivier Tembo</t>
  </si>
  <si>
    <t>Brigitte Bader-Meunier</t>
  </si>
  <si>
    <t>Ingrid Briot</t>
  </si>
  <si>
    <t>Barro Saw</t>
  </si>
  <si>
    <t>Denis Le Bastard</t>
  </si>
  <si>
    <t>Anne-Sophie HALLET</t>
  </si>
  <si>
    <t>Anne Marie GOSSE</t>
  </si>
  <si>
    <t>Nizar Malhaoui</t>
  </si>
  <si>
    <t>Bénédicte Bézault</t>
  </si>
  <si>
    <t>Perla El Hage</t>
  </si>
  <si>
    <t>Jérémy Menager</t>
  </si>
  <si>
    <t>Caroline Circlaeys</t>
  </si>
  <si>
    <t>Astellas Pharma</t>
  </si>
  <si>
    <t>Collège des Pédiatres Universitaires</t>
  </si>
  <si>
    <t>Soutenance de thèse Stéphanie Guillet</t>
  </si>
  <si>
    <t>Espace Ethique</t>
  </si>
  <si>
    <t xml:space="preserve">Formation DESC </t>
  </si>
  <si>
    <t>FAI2R  Pr Quartier</t>
  </si>
  <si>
    <t>Espace maladies rares véronique Richard</t>
  </si>
  <si>
    <t>AOJBC</t>
  </si>
  <si>
    <t>4ème journée filière ORKID</t>
  </si>
  <si>
    <t>Filière SENSGENE</t>
  </si>
  <si>
    <t>Inserm EJP</t>
  </si>
  <si>
    <t xml:space="preserve">NEPHEMA </t>
  </si>
  <si>
    <t>Journée Handicap Inclusion Scolaire et Handicap</t>
  </si>
  <si>
    <t>DIM Thérapie Génique</t>
  </si>
  <si>
    <t>BMX AMEX</t>
  </si>
  <si>
    <t>ESPN 2019</t>
  </si>
  <si>
    <t>Eurordis Winter School</t>
  </si>
  <si>
    <t>PerkinElmer</t>
  </si>
  <si>
    <t>Réunion des Secrétaire-Gestionnaire Inserm</t>
  </si>
  <si>
    <t>RAC- APHP</t>
  </si>
  <si>
    <t>Hopital Necker (Coordination des prélèvements d'organe)</t>
  </si>
  <si>
    <t>UTET</t>
  </si>
  <si>
    <t>Association ARTUR</t>
  </si>
  <si>
    <t>Fondation Elan Retrouvé</t>
  </si>
  <si>
    <t>Soutenance de thèse Magda Cannata Serio</t>
  </si>
  <si>
    <t>oscar Moc</t>
  </si>
  <si>
    <t>Congrès Annuel YR2I</t>
  </si>
  <si>
    <t>Congrès YRLS</t>
  </si>
  <si>
    <t>Soutenance de Thèse Juliette Pullman</t>
  </si>
  <si>
    <t>IRC 5</t>
  </si>
  <si>
    <t>Soutenance de thèse Camila FLORES</t>
  </si>
  <si>
    <t>Allergologiqe Pédiatrique</t>
  </si>
  <si>
    <t>Labex GR-EX</t>
  </si>
  <si>
    <t>Soutenance de thèse Mara Caravallin</t>
  </si>
  <si>
    <t>APHP</t>
  </si>
  <si>
    <t>ROCHE</t>
  </si>
  <si>
    <t>GFCO</t>
  </si>
  <si>
    <t>Soutenance de thèse Nadjet GACEM</t>
  </si>
  <si>
    <t>HAD APHP</t>
  </si>
  <si>
    <t>Soutenance de thèse mathilde Bedin</t>
  </si>
  <si>
    <t>Soutenance de thèse Raphael Munoz Ruiz</t>
  </si>
  <si>
    <t>Soutenance de thèse Guillemette Fouquet</t>
  </si>
  <si>
    <t>Réunion ONCOMOLPATH- Dr Tembo</t>
  </si>
  <si>
    <t xml:space="preserve">inserm </t>
  </si>
  <si>
    <t>Société Française d'Immunologie</t>
  </si>
  <si>
    <t>Centre de référence MARHEA</t>
  </si>
  <si>
    <t>Séminaire Activ Motif</t>
  </si>
  <si>
    <t>FILNEMUS</t>
  </si>
  <si>
    <t>Journée du PRES- HERMINE</t>
  </si>
  <si>
    <t>Medicen</t>
  </si>
  <si>
    <t>MARHEA</t>
  </si>
  <si>
    <t>SAB</t>
  </si>
  <si>
    <t>Soutenance de thèse Elodie Dandelot</t>
  </si>
  <si>
    <t>Soutenance de thèse Slimane Allali</t>
  </si>
  <si>
    <t>Congrès VNI</t>
  </si>
  <si>
    <t xml:space="preserve">Cloud Santé </t>
  </si>
  <si>
    <t>Sanofi</t>
  </si>
  <si>
    <t>Soutenance de thèse Michelle Marchal</t>
  </si>
  <si>
    <t>Soutenance de thèse Meriem Belabad</t>
  </si>
  <si>
    <t xml:space="preserve">Merck </t>
  </si>
  <si>
    <t>Soutenante de thèse Marianne Delville</t>
  </si>
  <si>
    <t>Soutenance de thèse Guillaume Dorval</t>
  </si>
  <si>
    <t>CRMR PGR</t>
  </si>
  <si>
    <t xml:space="preserve">MEETING CILS </t>
  </si>
  <si>
    <t>Ligue contre le cancer</t>
  </si>
  <si>
    <t>Nadia Bahi Buisson</t>
  </si>
  <si>
    <t>Serge Romana</t>
  </si>
  <si>
    <t>Christine Lignon</t>
  </si>
  <si>
    <t>Maryline OSWALD</t>
  </si>
  <si>
    <t>Nadine OBAME</t>
  </si>
  <si>
    <t>Georgia Tsasou</t>
  </si>
  <si>
    <t>Laetitia Schneider</t>
  </si>
  <si>
    <t xml:space="preserve">Virginie Goubert </t>
  </si>
  <si>
    <t>arnaud le merrer</t>
  </si>
  <si>
    <t>Régis Quéré et Isabelle Fernandes</t>
  </si>
  <si>
    <t>Dr Cécile GODOT</t>
  </si>
  <si>
    <t>Michèle THOMAS</t>
  </si>
  <si>
    <t>François Geraud</t>
  </si>
  <si>
    <t>Alexa lecuyer</t>
  </si>
  <si>
    <t>Pr Cormier-Daire</t>
  </si>
  <si>
    <t>Corinne Gaffet</t>
  </si>
  <si>
    <t>Tania Attié Bittah</t>
  </si>
  <si>
    <t>Anne Florence BELLAIS</t>
  </si>
  <si>
    <t>Barbara Andrzejewski</t>
  </si>
  <si>
    <t>Morgane COM</t>
  </si>
  <si>
    <t>Genevieve Khun</t>
  </si>
  <si>
    <t>Inès Ben Aissa</t>
  </si>
  <si>
    <t>Diane Villa</t>
  </si>
  <si>
    <t>Florence Jambou</t>
  </si>
  <si>
    <t>Kimberley Koener</t>
  </si>
  <si>
    <t>Annamaria Molon</t>
  </si>
  <si>
    <t>Julien ettersperger</t>
  </si>
  <si>
    <t>Olivier Chabanon</t>
  </si>
  <si>
    <t xml:space="preserve">Rebecca GENE </t>
  </si>
  <si>
    <t>Magali VIAUD</t>
  </si>
  <si>
    <t>Pr Quartier Dit Maire</t>
  </si>
  <si>
    <t>Philippe Bastin</t>
  </si>
  <si>
    <t>Stéphanie Lefèvre</t>
  </si>
  <si>
    <t>MasterClass Repositionnement. Findmed , ICM</t>
  </si>
  <si>
    <t>Collège des Pédiatres- Nadia Bahi-Buisson</t>
  </si>
  <si>
    <t>Séminaire de Direction APHP</t>
  </si>
  <si>
    <t>Hôpital Saint Louis ONCOMOLPATH</t>
  </si>
  <si>
    <t>Journée de Biologie Clinique Necker-Pasteur</t>
  </si>
  <si>
    <t>Edor Kabashi</t>
  </si>
  <si>
    <t>Journées Maladies Rares Hématologie</t>
  </si>
  <si>
    <t>BPI France</t>
  </si>
  <si>
    <t>Heroes Présentation</t>
  </si>
  <si>
    <t>Club cinéma</t>
  </si>
  <si>
    <t>Congrès GFHC-GBMHM CEREMAST</t>
  </si>
  <si>
    <t>FRL</t>
  </si>
  <si>
    <t>OPHTARA  SENSGENE</t>
  </si>
  <si>
    <t>G2M</t>
  </si>
  <si>
    <t>UNIVERSITE PARIS DESCARTES et INSERM TRANSFER</t>
  </si>
  <si>
    <t>AnDi Rares</t>
  </si>
  <si>
    <t>Marie de Bazelaire</t>
  </si>
  <si>
    <t>Espace Ethique POLETHIS</t>
  </si>
  <si>
    <t>FFRE</t>
  </si>
  <si>
    <t>BMS - AMEX</t>
  </si>
  <si>
    <t xml:space="preserve">aincre la Mucoviscidose </t>
  </si>
  <si>
    <t>Nouveaux Arrivants AM Laurencine</t>
  </si>
  <si>
    <t>Céline Giustranti</t>
  </si>
  <si>
    <t>YUMP (YR2I)</t>
  </si>
  <si>
    <t>CA de l’AFGC</t>
  </si>
  <si>
    <t>Jeudis de la Génétique</t>
  </si>
  <si>
    <t>DPNI. U (3ème Jeudi)</t>
  </si>
  <si>
    <t>Itw A.Munnich</t>
  </si>
  <si>
    <t>Conseil IHU</t>
  </si>
  <si>
    <t>Soutenance Hugo Garcia</t>
  </si>
  <si>
    <t>CRMR anodes et filière ANDDI RARE</t>
  </si>
  <si>
    <t>EPFL</t>
  </si>
  <si>
    <t>Soutenance Sandra Mignot</t>
  </si>
  <si>
    <t>COPIL Stratégique APHP</t>
  </si>
  <si>
    <t>Journée Biannuelle du Groupe de Pédiatrie Générale Pr. Abadie</t>
  </si>
  <si>
    <t>Soutenance sophie Ramadier</t>
  </si>
  <si>
    <t>COPIL WP7</t>
  </si>
  <si>
    <t>Pierre Royer de Génétique</t>
  </si>
  <si>
    <t>CODIR G7</t>
  </si>
  <si>
    <t>soutenance Floriane PETIT</t>
  </si>
  <si>
    <t>ICARP Hémato</t>
  </si>
  <si>
    <t>Auditions ED</t>
  </si>
  <si>
    <t>Soutenance Giulia Menara</t>
  </si>
  <si>
    <t>Conseil d'IHU</t>
  </si>
  <si>
    <t>Soutenance Margaux Louchet (CIC Jean-Marc Treluyer)</t>
  </si>
  <si>
    <t xml:space="preserve">Congrès annuel YRIIY </t>
  </si>
  <si>
    <t>CA FHPHF</t>
  </si>
  <si>
    <t>CSE</t>
  </si>
  <si>
    <t>Soutenance de thèse Jérôme Hadjadj</t>
  </si>
  <si>
    <t>Formation validante à l’éducation thérapeutique du patient (ETP) MODULE 2</t>
  </si>
  <si>
    <t>Accueil nouveaux arrivants</t>
  </si>
  <si>
    <t>Accueil nouveaux arrivants Anne Marie Laurencine</t>
  </si>
  <si>
    <t>HDR Sylvain ERNST</t>
  </si>
  <si>
    <t>Formation SST</t>
  </si>
  <si>
    <t>Single Cell- Visite Région</t>
  </si>
  <si>
    <t>Accueil Donnateurs</t>
  </si>
  <si>
    <t>Réunion Directeurs Santé (salma Kotti: bilan IHU Track APHP)</t>
  </si>
  <si>
    <t xml:space="preserve"> soutenance Iris Barny</t>
  </si>
  <si>
    <t>Master Bioentrepreneurs</t>
  </si>
  <si>
    <t>Présentation projet Donnateurs</t>
  </si>
  <si>
    <t>Cellectis</t>
  </si>
  <si>
    <t>AG YRII</t>
  </si>
  <si>
    <t xml:space="preserve">Soutenance Ekin </t>
  </si>
  <si>
    <t>Réunion Imagine &amp; INRIA (N.Garcelon)</t>
  </si>
  <si>
    <t>ICARP rein (G.Mollet)</t>
  </si>
  <si>
    <t>Soutenance Camille Bouchelet</t>
  </si>
  <si>
    <t>CA YR2I</t>
  </si>
  <si>
    <t>Lucile Couronné HDR</t>
  </si>
  <si>
    <t>Réunion expertise APHP conformité</t>
  </si>
  <si>
    <t xml:space="preserve">Thèse Antoine Neuraz </t>
  </si>
  <si>
    <t xml:space="preserve">Hommage Pierre Maroteaux </t>
  </si>
  <si>
    <t>Thèse Marie Da Cruz</t>
  </si>
  <si>
    <t xml:space="preserve"> Réunion expertise APHP</t>
  </si>
  <si>
    <t>CA Imagine</t>
  </si>
  <si>
    <t>Inconnu</t>
  </si>
  <si>
    <t>Coûtant</t>
  </si>
  <si>
    <t>elodie.dandelot@institutimagine.org</t>
  </si>
  <si>
    <t>stanislas.lyonnet@institutimagine.org</t>
  </si>
  <si>
    <t>afcollange@gmail.com</t>
  </si>
  <si>
    <t>pascal.amireault@inserm.fr</t>
  </si>
  <si>
    <t>olompas@vaincrelamuco.org</t>
  </si>
  <si>
    <t>assoyrii@gmail.com</t>
  </si>
  <si>
    <t>djenaba.bamba@dessinemoiunmouton.org</t>
  </si>
  <si>
    <t>stephanie.remola@inserm-transfert.fr</t>
  </si>
  <si>
    <t>rima.nabbout@aphp.fr</t>
  </si>
  <si>
    <t>laurent.mellier@institutimagine.org</t>
  </si>
  <si>
    <t>tellier.a@be-sunshine.com&gt;</t>
  </si>
  <si>
    <t>wassa.kanoute@aphp.fr</t>
  </si>
  <si>
    <t>Centre maladies rares PGR Magalie Viaud</t>
  </si>
  <si>
    <t>staff génétique</t>
  </si>
  <si>
    <t>Filière Anddi rares</t>
  </si>
  <si>
    <t>Jeudis de la génétique</t>
  </si>
  <si>
    <t>JMR</t>
  </si>
  <si>
    <t>Medetia/imagine</t>
  </si>
  <si>
    <t>COPIL du CRB de Necker</t>
  </si>
  <si>
    <t xml:space="preserve"> -Nouveaux arrivants</t>
  </si>
  <si>
    <t>Grands donnateurs</t>
  </si>
  <si>
    <t>Pierre Royer</t>
  </si>
  <si>
    <t>CSI SpringBoard S</t>
  </si>
  <si>
    <t>Rencontre représentants docs-postdocs</t>
  </si>
  <si>
    <t>Soutenance Sara Farcy</t>
  </si>
  <si>
    <t>Sabrina Méchaussier</t>
  </si>
  <si>
    <t>AG G2M</t>
  </si>
  <si>
    <t>CRMR MOC</t>
  </si>
  <si>
    <t>Réunion + Visio ERN Skin</t>
  </si>
  <si>
    <t>Codir G7</t>
  </si>
  <si>
    <t>CCNE CNPEN</t>
  </si>
  <si>
    <t>Soutenance Aurore Carré</t>
  </si>
  <si>
    <t xml:space="preserve"> Le Rire Médecin</t>
  </si>
  <si>
    <t>Réunion/formation service allergo</t>
  </si>
  <si>
    <t>FAIR</t>
  </si>
  <si>
    <t>CODIR Atraction</t>
  </si>
  <si>
    <t>CODIR GHU APHP Nord</t>
  </si>
  <si>
    <t>Auditions MD.PhD</t>
  </si>
  <si>
    <t>Group leader Seminar</t>
  </si>
  <si>
    <t>Soutenance HDR M.Ménager</t>
  </si>
  <si>
    <t>Journée SENSGENE</t>
  </si>
  <si>
    <t>Soutenance Siavellis Justine</t>
  </si>
  <si>
    <t>Journées du patrimoine</t>
  </si>
  <si>
    <t>Rentrée ACIP MdB</t>
  </si>
  <si>
    <t>Conférence Climat</t>
  </si>
  <si>
    <t>Conférence Imagine /donateurs</t>
  </si>
  <si>
    <t>DU Pierre Quartier</t>
  </si>
  <si>
    <t>Soutenance Paul Bastard</t>
  </si>
  <si>
    <t>Question pour un génieticien</t>
  </si>
  <si>
    <t>Fête de la Science</t>
  </si>
  <si>
    <t>Journée Tête Cou</t>
  </si>
  <si>
    <t>ICP MdB</t>
  </si>
  <si>
    <t>FILEFOIE</t>
  </si>
  <si>
    <t>Nouveaux arrivants</t>
  </si>
  <si>
    <t>Soutenance Ségolène Bernheim</t>
  </si>
  <si>
    <t>Soutenance Elia Colin</t>
  </si>
  <si>
    <t>Lymphome Manteau O Hermine</t>
  </si>
  <si>
    <t>Magalie Viaud</t>
  </si>
  <si>
    <t>Stanislas Lyonnet</t>
  </si>
  <si>
    <t>BEN SLAMA Lilia</t>
  </si>
  <si>
    <t>Geneviève Baujat</t>
  </si>
  <si>
    <t>Justine Brossard</t>
  </si>
  <si>
    <t>Cécile Bureau</t>
  </si>
  <si>
    <t>Helène de Drweski</t>
  </si>
  <si>
    <t>Martin Fidalgo</t>
  </si>
  <si>
    <t>Nathalie Biebuyck</t>
  </si>
  <si>
    <t>Hélène De Drweski</t>
  </si>
  <si>
    <t>Khemiri Azza</t>
  </si>
  <si>
    <t>Catherine Champseix</t>
  </si>
  <si>
    <t>Romane Thouenon</t>
  </si>
  <si>
    <t>Camille Darche</t>
  </si>
  <si>
    <t>Clotilde Mallard</t>
  </si>
  <si>
    <t>Isabelle Hascoet</t>
  </si>
  <si>
    <t>Laure Boquer, Marie de Bazelaire, Elodie Dandelot</t>
  </si>
  <si>
    <t>Lia Domingues</t>
  </si>
  <si>
    <t>Isabelle Janin</t>
  </si>
  <si>
    <t>Séminaire Imagine</t>
  </si>
  <si>
    <t>Live Institutionnel</t>
  </si>
  <si>
    <t>Cours P Quartier</t>
  </si>
  <si>
    <t>Journées de Biologie Clinique Necker-Institut Pasteur</t>
  </si>
  <si>
    <t>Visite Scolaire S. Meilhac</t>
  </si>
  <si>
    <t>YRS</t>
  </si>
  <si>
    <t>Club Globules Rouges</t>
  </si>
  <si>
    <t>Maladies rares (AF. Collange)</t>
  </si>
  <si>
    <t>HDR Pascal Amireault</t>
  </si>
  <si>
    <t>Intw A. Fisher</t>
  </si>
  <si>
    <t>Conf presse Comm'</t>
  </si>
  <si>
    <t>Lab Meeting ISA</t>
  </si>
  <si>
    <t>Jeudi de la Génétique</t>
  </si>
  <si>
    <t>Dessine-moi un mouton</t>
  </si>
  <si>
    <t>Olympiades</t>
  </si>
  <si>
    <t>Tournois Echec et autisme</t>
  </si>
  <si>
    <t>Journée Tête cou</t>
  </si>
  <si>
    <t>INSERM Transfert</t>
  </si>
  <si>
    <t>KCNB1</t>
  </si>
  <si>
    <t>Réunion URC</t>
  </si>
  <si>
    <t>Pierre Royer Hémato</t>
  </si>
  <si>
    <t>Colloque Femmes Médecins</t>
  </si>
  <si>
    <t>Association Arthur</t>
  </si>
  <si>
    <t>Fédération de génétique</t>
  </si>
  <si>
    <t>Neurosphinx -journées filières</t>
  </si>
  <si>
    <t>Visite scolaire SES-BE Elodie</t>
  </si>
  <si>
    <t>Ligue cancer AG</t>
  </si>
  <si>
    <t>URC</t>
  </si>
  <si>
    <t>Séminaire GEN / Pédiatrie Générale Necker</t>
  </si>
  <si>
    <t>Congrès YR2I</t>
  </si>
  <si>
    <t>Rencontres internationales de la dysplasie ectodermique MAGEC</t>
  </si>
  <si>
    <t>DU Pierre quartier</t>
  </si>
  <si>
    <t>CytHem Journée Annuelle</t>
  </si>
  <si>
    <t>groupe français de transplantation fécale</t>
  </si>
  <si>
    <t>Allergo Hascoet</t>
  </si>
  <si>
    <t>Oscar</t>
  </si>
  <si>
    <t>Ligue/Pasteur remise médaille/prix</t>
  </si>
  <si>
    <t xml:space="preserve">Journées pédiatries - Novartis </t>
  </si>
  <si>
    <t>GHNGHP</t>
  </si>
  <si>
    <t>Tête cou - journée</t>
  </si>
  <si>
    <t>Cocktail Dinatoire DIM</t>
  </si>
  <si>
    <t>Journée DIM - DIVA</t>
  </si>
  <si>
    <t>Journée Filière HandiRAR</t>
  </si>
  <si>
    <t>Remise de chèque Levée de fonds</t>
  </si>
  <si>
    <t>Conseil Fédération FMG</t>
  </si>
  <si>
    <t>Collégiale de pédiatrie</t>
  </si>
  <si>
    <t>HDI Day</t>
  </si>
  <si>
    <t>Kick-off projet ANR</t>
  </si>
  <si>
    <t>Table Ronde Nextstep</t>
  </si>
  <si>
    <t xml:space="preserve">Réunion Sigolène </t>
  </si>
  <si>
    <t>Remise insigne légion Gérard Friedler</t>
  </si>
  <si>
    <t xml:space="preserve">Fimarad </t>
  </si>
  <si>
    <t>Thèse Stacy Brino</t>
  </si>
  <si>
    <t>Giving Thuesday</t>
  </si>
  <si>
    <t>Achropuce</t>
  </si>
  <si>
    <t>Journée de Formation SFPIO</t>
  </si>
  <si>
    <t>G2M-Filnemus</t>
  </si>
  <si>
    <t>Thèse Giulia Hardouin</t>
  </si>
  <si>
    <t>Réunion APHP</t>
  </si>
  <si>
    <t>Conférence Grand Public Génétalk</t>
  </si>
  <si>
    <t>SOFOET</t>
  </si>
  <si>
    <t>Thèse Marta Benavides Nieto</t>
  </si>
  <si>
    <t>Thèse Romane Thouenon</t>
  </si>
  <si>
    <t>Thèse Carole Faviez</t>
  </si>
  <si>
    <t>Présentation par la compagnie 10x Genomics</t>
  </si>
  <si>
    <t>Rimma Nabbout</t>
  </si>
  <si>
    <t>Intermoc</t>
  </si>
  <si>
    <t>Thèse Valeria Agostini</t>
  </si>
  <si>
    <t>Journée des Conférences scientifiques</t>
  </si>
  <si>
    <t>Rémise légion</t>
  </si>
  <si>
    <t>Collège de Pédiatrie</t>
  </si>
  <si>
    <t xml:space="preserve">Journée TEDImabio 2023 </t>
  </si>
  <si>
    <t>Olivier Hermine: centre de référence</t>
  </si>
  <si>
    <t xml:space="preserve">Monday Seminaire </t>
  </si>
  <si>
    <t xml:space="preserve">Assemblée générale du service Pr Serge ROMANA </t>
  </si>
  <si>
    <t xml:space="preserve">Journée maladie rare </t>
  </si>
  <si>
    <t xml:space="preserve">Soutenance de thèse Laurence Legait Mallet </t>
  </si>
  <si>
    <t xml:space="preserve">Session BioEntrepreneur </t>
  </si>
  <si>
    <t>Conférence de presse</t>
  </si>
  <si>
    <t>Journée scientifique annuelle de la Société Française de Dépistage Néonatal (SFDN)</t>
  </si>
  <si>
    <t xml:space="preserve">Kickoff Bioentrepreneur </t>
  </si>
  <si>
    <t xml:space="preserve">Afterwork Association YII </t>
  </si>
  <si>
    <t xml:space="preserve">Journée CEREDIH </t>
  </si>
  <si>
    <t>Journées de Biologie Clinique Necker – Institut Pasteur</t>
  </si>
  <si>
    <t xml:space="preserve">Jury PPU Internional </t>
  </si>
  <si>
    <t xml:space="preserve">Journée SOFFOET </t>
  </si>
  <si>
    <t>présentation Vizgen William Amoyal Mickaël Ménager</t>
  </si>
  <si>
    <t>Colloque Français des Jeunes Chercheurs en Mucoviscidose</t>
  </si>
  <si>
    <t xml:space="preserve">Conférence presse Imagine dépistage néonatal </t>
  </si>
  <si>
    <t>Séminaire BNDMR</t>
  </si>
  <si>
    <t>SFR Necker Janvier Labs.</t>
  </si>
  <si>
    <t>pierre.quartier@aphp.fr</t>
  </si>
  <si>
    <t>jbc@doyoumeanblue.com</t>
  </si>
  <si>
    <t>genevieve.baujat@aphp.fr</t>
  </si>
  <si>
    <t>eloi.relange@ffechecs.fr</t>
  </si>
  <si>
    <t>sandrine.mendy@aphp.fr</t>
  </si>
  <si>
    <t>severine.poignant@aphp.fr</t>
  </si>
  <si>
    <t>azza.khemiri@aphp.fr</t>
  </si>
  <si>
    <t>michaela.corrias@aphp.fr</t>
  </si>
  <si>
    <t>dr.isabelle.gautier@gmail.com</t>
  </si>
  <si>
    <t>michele.thomas3@orange.fr</t>
  </si>
  <si>
    <t>tiphaine.piron@aphp.fr</t>
  </si>
  <si>
    <t>stephanie.lefevre@ligue-cancer.net</t>
  </si>
  <si>
    <t>caroline.iberg@chru-strasbourg.fr&gt;</t>
  </si>
  <si>
    <t>contact@relations-medicales.com&gt;</t>
  </si>
  <si>
    <t>smail.hadj@inserm.fr, mariyam.hammouche@aphp.fr</t>
  </si>
  <si>
    <t>orianne.wagnerballon@aphp.fr</t>
  </si>
  <si>
    <t>benedicte.pigneur@aphp.fr</t>
  </si>
  <si>
    <t>natacha.flaih@ligue-cancer.net</t>
  </si>
  <si>
    <t>veronique.abadie@aphp.fr / dimitri.ordynski_ext@novartis.com</t>
  </si>
  <si>
    <t>developpeur.gfhgnp@gmail.com</t>
  </si>
  <si>
    <t>ines.ben-aissa@aphp.fr</t>
  </si>
  <si>
    <t>rebecca.gene@aphp.fr</t>
  </si>
  <si>
    <t xml:space="preserve">bapstiste.vierne@aphp.fr </t>
  </si>
  <si>
    <t>aude.chaboissier@aphp.fr</t>
  </si>
  <si>
    <t> olivier.brissaud@chu-bordeaux.fr</t>
  </si>
  <si>
    <t>meriem.garfa@inserm.fr</t>
  </si>
  <si>
    <t>David.Lavergne@chu-limoges.fr</t>
  </si>
  <si>
    <t>serge.romana@aphp.fr</t>
  </si>
  <si>
    <t xml:space="preserve">pauline.seiter@institutimagine.org </t>
  </si>
  <si>
    <t xml:space="preserve">justine.brossard@institutimagine.org </t>
  </si>
  <si>
    <t>CCorne@chu-grenoble.fr</t>
  </si>
  <si>
    <t>mahlaouinizar@gmail.com</t>
  </si>
  <si>
    <t xml:space="preserve">contact@jbcneckerpasteur.fr </t>
  </si>
  <si>
    <t>lilia.ben-slama@aphp.fr</t>
  </si>
  <si>
    <t xml:space="preserve">valerie.dupil@aphp </t>
  </si>
  <si>
    <t xml:space="preserve">william.amoyal@vizgen.com </t>
  </si>
  <si>
    <t>sarah.otmani@aphp.fr&gt;</t>
  </si>
  <si>
    <t>marie-anne.rey-cuille@inserm.fr</t>
  </si>
  <si>
    <t>no</t>
  </si>
  <si>
    <t xml:space="preserve">no </t>
  </si>
  <si>
    <t>Olympiades YRII</t>
  </si>
  <si>
    <t>Séminaire YR2I</t>
  </si>
  <si>
    <t xml:space="preserve">SAB IMAGINE </t>
  </si>
  <si>
    <t xml:space="preserve">Conseil Administration </t>
  </si>
  <si>
    <t xml:space="preserve">Live Imagine </t>
  </si>
  <si>
    <t xml:space="preserve">Réunion Julien Lamy </t>
  </si>
  <si>
    <t xml:space="preserve">Conseil de Déontologie </t>
  </si>
  <si>
    <t xml:space="preserve">G10 </t>
  </si>
  <si>
    <t xml:space="preserve">Accueil des nouveaux arrivants </t>
  </si>
  <si>
    <t xml:space="preserve">Séminaire Jeunes chercheurs </t>
  </si>
  <si>
    <t xml:space="preserve">Pot de départ Melissa C </t>
  </si>
  <si>
    <t xml:space="preserve">Journée Maladie rare </t>
  </si>
  <si>
    <t xml:space="preserve">Neurosphinx </t>
  </si>
  <si>
    <t xml:space="preserve">Lab meeting Sophie Saunier </t>
  </si>
  <si>
    <t xml:space="preserve">Afterwork BioEntrepreneur </t>
  </si>
  <si>
    <t xml:space="preserve">Scouting Day EnsAD </t>
  </si>
  <si>
    <t xml:space="preserve">TeteCou </t>
  </si>
  <si>
    <t xml:space="preserve">Plénière equipement </t>
  </si>
  <si>
    <t xml:space="preserve">Journée GPGse </t>
  </si>
  <si>
    <t xml:space="preserve">Séminaire Pierre Royer </t>
  </si>
  <si>
    <t xml:space="preserve">Group leaders meeting </t>
  </si>
  <si>
    <t xml:space="preserve">Visitedonateur </t>
  </si>
  <si>
    <t>Séminaire Pr Damien Bonnet</t>
  </si>
  <si>
    <t>Afterwork YR2I</t>
  </si>
  <si>
    <t xml:space="preserve">Journée de l'albinime </t>
  </si>
  <si>
    <t>Réunion audit CAC</t>
  </si>
  <si>
    <t>Café chercheurs Laurence LM</t>
  </si>
  <si>
    <t xml:space="preserve">Soutenance de thèse Valérie </t>
  </si>
  <si>
    <t xml:space="preserve">Pot de thèse Valérie </t>
  </si>
  <si>
    <t>G10</t>
  </si>
  <si>
    <t xml:space="preserve"> Café posdoc avec Bana Jabri </t>
  </si>
  <si>
    <t xml:space="preserve">Réunion Bana Jabri </t>
  </si>
  <si>
    <t>Photos T.R</t>
  </si>
  <si>
    <t>Café ITA avec Bana J.</t>
  </si>
  <si>
    <t>Réunion Bana-Alain</t>
  </si>
  <si>
    <t xml:space="preserve">MIP raise </t>
  </si>
  <si>
    <t xml:space="preserve">Elena Pasho Imagine </t>
  </si>
  <si>
    <t>Réunion crosslab</t>
  </si>
  <si>
    <t xml:space="preserve">Assises de génétique de la fédération de médecine </t>
  </si>
  <si>
    <t>Réunion scouting day</t>
  </si>
  <si>
    <t xml:space="preserve">COPSS </t>
  </si>
  <si>
    <t xml:space="preserve">Réunion gestionnaires </t>
  </si>
  <si>
    <t xml:space="preserve">Réunion Michela Deleidi </t>
  </si>
  <si>
    <t>Visite Université Oslo-APHP</t>
  </si>
  <si>
    <t>AG Ligue contre le cancer</t>
  </si>
  <si>
    <t xml:space="preserve">Seminaire Marine Luka et compagnie Nanostring </t>
  </si>
  <si>
    <t>Pot Julien Lamy</t>
  </si>
  <si>
    <t xml:space="preserve">Formation Imagine </t>
  </si>
  <si>
    <t>Journée CEREMAST AF Collange</t>
  </si>
  <si>
    <t>Elena Pasho</t>
  </si>
  <si>
    <t>Réunion RH</t>
  </si>
  <si>
    <t xml:space="preserve">Afterwork YRII </t>
  </si>
  <si>
    <t>A.R.Tu.R, Association pour la Recherche sur les Tumeurs du Rein</t>
  </si>
  <si>
    <t xml:space="preserve">Journée des asso APHP </t>
  </si>
  <si>
    <t xml:space="preserve">Congrès YRII </t>
  </si>
  <si>
    <t>Forum SHS</t>
  </si>
  <si>
    <t xml:space="preserve">Association famille Ondine </t>
  </si>
  <si>
    <t xml:space="preserve">Monday Seminar </t>
  </si>
  <si>
    <t xml:space="preserve">ANJH </t>
  </si>
  <si>
    <t xml:space="preserve">GeneTalks </t>
  </si>
  <si>
    <t xml:space="preserve">Réunion Julien Husson </t>
  </si>
  <si>
    <t xml:space="preserve">DMU MEFADO </t>
  </si>
  <si>
    <t xml:space="preserve">Société Française d'endodontie </t>
  </si>
  <si>
    <t xml:space="preserve">Réunion Examen Vamérie Cormier </t>
  </si>
  <si>
    <t>Journée annuelle RESPIRARE</t>
  </si>
  <si>
    <t xml:space="preserve">DMU DAY </t>
  </si>
  <si>
    <t>Soirée Néphrologie et Transplantation Adulte du Pr Anglicheau</t>
  </si>
  <si>
    <t xml:space="preserve">Réunion Lab Mickaël Ménager </t>
  </si>
  <si>
    <t xml:space="preserve">G10 Imaginem </t>
  </si>
  <si>
    <t xml:space="preserve">Journée Recherches FILFOIE </t>
  </si>
  <si>
    <t>Soirée scientifique en hommage à Danielle BREN</t>
  </si>
  <si>
    <t xml:space="preserve">AG AFF </t>
  </si>
  <si>
    <t xml:space="preserve">CODIR SFR NECKER </t>
  </si>
  <si>
    <t xml:space="preserve">Soutenance Amandine Viau </t>
  </si>
  <si>
    <t xml:space="preserve">Pot de départ Thierry Drevon </t>
  </si>
  <si>
    <t xml:space="preserve">PerkinElmer </t>
  </si>
  <si>
    <t xml:space="preserve">Intermoc </t>
  </si>
  <si>
    <t xml:space="preserve">AG ARSLA </t>
  </si>
  <si>
    <t xml:space="preserve">CSI Springboard </t>
  </si>
  <si>
    <t xml:space="preserve">Réunion Valérie Cormier </t>
  </si>
  <si>
    <t xml:space="preserve">Remise de prix Mme Odile Launay </t>
  </si>
  <si>
    <t>Workshop C'IL LICO</t>
  </si>
  <si>
    <t>CODIR</t>
  </si>
  <si>
    <t>Réunion BNP Paribas Cardif</t>
  </si>
  <si>
    <t xml:space="preserve">Tournage "La fiève" </t>
  </si>
  <si>
    <t xml:space="preserve">Réunion Nouara </t>
  </si>
  <si>
    <t xml:space="preserve">Réunion Comm </t>
  </si>
  <si>
    <t xml:space="preserve">Présentation des nouveaux arrivants </t>
  </si>
  <si>
    <t xml:space="preserve">Comité Carnot Imagine </t>
  </si>
  <si>
    <t>Café fonctions support</t>
  </si>
  <si>
    <t xml:space="preserve">Réunion Maura Célia Cardoso </t>
  </si>
  <si>
    <t xml:space="preserve">Rémise de prix Beatrice Langellier </t>
  </si>
  <si>
    <t xml:space="preserve">Superceleste </t>
  </si>
  <si>
    <t xml:space="preserve">Réunion Sixtine Jardé </t>
  </si>
  <si>
    <t xml:space="preserve">Entretien Célia Cardoso </t>
  </si>
  <si>
    <t xml:space="preserve">Réunion LB/ IHU de France </t>
  </si>
  <si>
    <t xml:space="preserve"> Congrès annuel de l’Association Médecine/Pharmacie Sciences</t>
  </si>
  <si>
    <t>Soutenance de thèse Anna-Lena</t>
  </si>
  <si>
    <t>Pot de thèse Anna-Lena</t>
  </si>
  <si>
    <t xml:space="preserve">Réunion Communication </t>
  </si>
  <si>
    <t xml:space="preserve">Monday Séminar </t>
  </si>
  <si>
    <t xml:space="preserve">Réunion de rentrée Master Polytechnique x HEC </t>
  </si>
  <si>
    <t xml:space="preserve">Thèse Soutenance Boris Sorin </t>
  </si>
  <si>
    <t xml:space="preserve">Pot de thèse Boris </t>
  </si>
  <si>
    <t xml:space="preserve">Réunion Alain Fischer </t>
  </si>
  <si>
    <t xml:space="preserve">Réunion Sab du projet Atraction </t>
  </si>
  <si>
    <t xml:space="preserve">Réunion QCVT </t>
  </si>
  <si>
    <t>Fillage BNP CARDIFF</t>
  </si>
  <si>
    <t xml:space="preserve">Paribas Cardif </t>
  </si>
  <si>
    <t xml:space="preserve">Réunion Rima </t>
  </si>
  <si>
    <t>Réunion A2MO</t>
  </si>
  <si>
    <t>Projet QVT</t>
  </si>
  <si>
    <t xml:space="preserve">Visite Direction SGPI Bonel Alter </t>
  </si>
  <si>
    <t xml:space="preserve">IHU's ICARPs Evaluation meeting </t>
  </si>
  <si>
    <t>Tournage Com</t>
  </si>
  <si>
    <t xml:space="preserve">Pot Nathalie Boddaert </t>
  </si>
  <si>
    <t>Lieu de stockage COM</t>
  </si>
  <si>
    <t xml:space="preserve">Task Force </t>
  </si>
  <si>
    <t>Task force</t>
  </si>
  <si>
    <t>Vincent Abramowki - Formation Taqman</t>
  </si>
  <si>
    <t>LIVE - Com</t>
  </si>
  <si>
    <t>Journée Annuelle du Centre de Référence des Surdités Génétiques</t>
  </si>
  <si>
    <t xml:space="preserve">Track Santé </t>
  </si>
  <si>
    <t xml:space="preserve">Pot de départ Pr Pierre Quartier </t>
  </si>
  <si>
    <t>Pot de départ Smail Hadj-rabia</t>
  </si>
  <si>
    <t>Réunion OncoSTART Summerschoo</t>
  </si>
  <si>
    <t>Réunion QVT RH</t>
  </si>
  <si>
    <t>Montage "A VOUS LE DIRECT"</t>
  </si>
  <si>
    <t xml:space="preserve">Colloque 2023 Dessinemoiunmouton </t>
  </si>
  <si>
    <t>Réunion CSE</t>
  </si>
  <si>
    <t>Cercle des amis DEV</t>
  </si>
  <si>
    <t>Afterwork WP7</t>
  </si>
  <si>
    <t>Réservation Guillaume Masson - Sandra Colas</t>
  </si>
  <si>
    <t>Réunion hebdomadaire URC</t>
  </si>
  <si>
    <t xml:space="preserve">TAX entry meeting </t>
  </si>
  <si>
    <t>Préparation sensibilisation parité RH</t>
  </si>
  <si>
    <t xml:space="preserve">AG Restos du cœur </t>
  </si>
  <si>
    <t xml:space="preserve">Soutenance de thèse Alice Darchen </t>
  </si>
  <si>
    <t>Soutenance de thèse Quentin Riller</t>
  </si>
  <si>
    <t xml:space="preserve">ECHANGE Asso GFHGNP </t>
  </si>
  <si>
    <t>Pot de départ Marion PILORGE</t>
  </si>
  <si>
    <t xml:space="preserve">Fête de la science </t>
  </si>
  <si>
    <t>Fête de la science - DEV</t>
  </si>
  <si>
    <t>Soirée IRM HEROES</t>
  </si>
  <si>
    <t xml:space="preserve">Conférence Valumen Viséo </t>
  </si>
  <si>
    <t>Laureats d'Imagine</t>
  </si>
  <si>
    <t>Pot de départ Anne Esling</t>
  </si>
  <si>
    <t>Visite étudiants BioLaunchPad</t>
  </si>
  <si>
    <t>Formation à la manipulation d'azote - Christelle Lenoir</t>
  </si>
  <si>
    <t xml:space="preserve">Journée TeteCou </t>
  </si>
  <si>
    <t>Journée annuelle AIRG</t>
  </si>
  <si>
    <t>Matching day - DIVA</t>
  </si>
  <si>
    <t xml:space="preserve">COMEX APHP Didier F </t>
  </si>
  <si>
    <t xml:space="preserve">Soutenance de thèse Amira Marouf </t>
  </si>
  <si>
    <t>Résa Laurent Frenzel</t>
  </si>
  <si>
    <t>Journée d’information ETP - Cystinose</t>
  </si>
  <si>
    <t>Lancement projet Extension</t>
  </si>
  <si>
    <t xml:space="preserve">Soutenance de thèse Quentin Phillipot </t>
  </si>
  <si>
    <t xml:space="preserve">Nicolas Garcelon </t>
  </si>
  <si>
    <t xml:space="preserve">Réunion  Comm </t>
  </si>
  <si>
    <t>Sensibilisation parité professionnelle</t>
  </si>
  <si>
    <t>Petit déjeuner support</t>
  </si>
  <si>
    <t>Réunion ANR article</t>
  </si>
  <si>
    <t xml:space="preserve">Comité Scientifique PEDIAC </t>
  </si>
  <si>
    <t>Afterwork Halloween</t>
  </si>
  <si>
    <t xml:space="preserve"> Congrès du Club Mastocytes basophiles</t>
  </si>
  <si>
    <t xml:space="preserve">Concert Cercle Olympe </t>
  </si>
  <si>
    <t xml:space="preserve">Séminaire annuel SFR Necker </t>
  </si>
  <si>
    <t xml:space="preserve">Journée puri AnDDI-Rares </t>
  </si>
  <si>
    <t>HAD 1ere Journée Expérience Patient de l’HAD AH-HP</t>
  </si>
  <si>
    <t>AG AOI</t>
  </si>
  <si>
    <t>Présentation du cytomètre en Flux "Attune CytPix"</t>
  </si>
  <si>
    <t xml:space="preserve">Séminaire nouveaux arrivants APHP </t>
  </si>
  <si>
    <t>Assises de Génétique à Imagine</t>
  </si>
  <si>
    <t>Nomination Michaela Semeraro</t>
  </si>
  <si>
    <t xml:space="preserve">Réunion Com </t>
  </si>
  <si>
    <t xml:space="preserve">Journée Hématologie de Paris </t>
  </si>
  <si>
    <t>Journée des associations FSMR NeuroSphinx</t>
  </si>
  <si>
    <t xml:space="preserve">Journée Asso Polykystose </t>
  </si>
  <si>
    <t xml:space="preserve">Soutenance de thèse - Héloise Halse </t>
  </si>
  <si>
    <t>Pot de thèse Héloise Halse</t>
  </si>
  <si>
    <t>Soutenance de thèse - Marie Materna</t>
  </si>
  <si>
    <t>Pot de thèse Marie Materna</t>
  </si>
  <si>
    <t xml:space="preserve">Giving Tuesday </t>
  </si>
  <si>
    <t xml:space="preserve">Séminaire Lab Casanova </t>
  </si>
  <si>
    <t xml:space="preserve">HDI DAY </t>
  </si>
  <si>
    <t>Evenement DIVA / Polytechnique</t>
  </si>
  <si>
    <t>Visite de la délégation de l'Université de Laval</t>
  </si>
  <si>
    <t>Evaluation HCERES</t>
  </si>
  <si>
    <t>Réunion DRH</t>
  </si>
  <si>
    <t xml:space="preserve">Copil Extension </t>
  </si>
  <si>
    <t xml:space="preserve"> Multidisciplinary Foetal Diagnostics Winter School </t>
  </si>
  <si>
    <t>Journée SOFFOET</t>
  </si>
  <si>
    <t>Soutenance de thèse Alice Tata</t>
  </si>
  <si>
    <t>Assemblée générale projet ANR - Léa Dussauge</t>
  </si>
  <si>
    <t>Soutenance de thèse Clémentine Angee</t>
  </si>
  <si>
    <t>AO Intranet - Comité de sélection final</t>
  </si>
  <si>
    <t>Séminaire YRII</t>
  </si>
  <si>
    <t>Soutenance de thèse Quentin Hennocq</t>
  </si>
  <si>
    <t>Afterwork noel YRII</t>
  </si>
  <si>
    <t>Tournage com</t>
  </si>
  <si>
    <t>Compétition pulls de noël</t>
  </si>
  <si>
    <t>Soutenance de thèse Sophie Quennelle</t>
  </si>
  <si>
    <t>COPIL support RH</t>
  </si>
  <si>
    <t xml:space="preserve">Soutenance de thèse Giulia FERRI </t>
  </si>
  <si>
    <t>Réunion Laurence L.M.</t>
  </si>
  <si>
    <t xml:space="preserve">Séminaire des nouveaux arrivants </t>
  </si>
  <si>
    <t>Présentation de l’évaluation IHU par l’HCERES</t>
  </si>
  <si>
    <t>Roadmap - Mr Rozet</t>
  </si>
  <si>
    <t xml:space="preserve">Soutenance de thèse William BERTANI TORRES </t>
  </si>
  <si>
    <t>Parlons éthique à la Fondation Cognacq-Jay</t>
  </si>
  <si>
    <t xml:space="preserve">Pot de fin de chantier </t>
  </si>
  <si>
    <t>Goûter de Noel interne</t>
  </si>
  <si>
    <t>Comité de suivi GEP</t>
  </si>
  <si>
    <t>Réunion Com - Direction</t>
  </si>
  <si>
    <t>Copil Roadmap</t>
  </si>
  <si>
    <t>Séminaire équipe APHP</t>
  </si>
  <si>
    <t>COPIL Extension</t>
  </si>
  <si>
    <t xml:space="preserve">APHP </t>
  </si>
  <si>
    <t xml:space="preserve">maura.samarani@institutimagine.org </t>
  </si>
  <si>
    <t xml:space="preserve">blanca.rojo-guyon@institutimagine.org </t>
  </si>
  <si>
    <t xml:space="preserve">ines.ben-aissa@aphp.fr </t>
  </si>
  <si>
    <t>mayahabbas@hotmail.com</t>
  </si>
  <si>
    <t>angélique.gaba@aphp.fr</t>
  </si>
  <si>
    <t>laeticia.leclere@aphp.fr</t>
  </si>
  <si>
    <t>isabelle.descamps@aphp.fr</t>
  </si>
  <si>
    <t>marie-louise.fremond@aphp.fr</t>
  </si>
  <si>
    <t xml:space="preserve">stephanie.lefevreàligue-cancer.net </t>
  </si>
  <si>
    <t>guillaume.mendon@institutimagine.org</t>
  </si>
  <si>
    <t>jeanferaud59@yahoo.fr</t>
  </si>
  <si>
    <t>juliette.lacronique-gugliermina@aphp.fr</t>
  </si>
  <si>
    <t>renan.oliveira-correa@institutimagine.org</t>
  </si>
  <si>
    <t>contact@afsondine.org</t>
  </si>
  <si>
    <t>blanca.rojo-guyon@institutimagine.org</t>
  </si>
  <si>
    <t xml:space="preserve">corinne.gaffet@meetingevent.fr </t>
  </si>
  <si>
    <t>gautier.cariou@institutimagine.org</t>
  </si>
  <si>
    <t xml:space="preserve">julien.husson@institutimagine.org </t>
  </si>
  <si>
    <t>marie.lis</t>
  </si>
  <si>
    <t>parisiledefrance@sfe-endo.fr</t>
  </si>
  <si>
    <t>valerie.cormier-daire@inserm.fr</t>
  </si>
  <si>
    <t>christophe.delacourt@aphp.fr</t>
  </si>
  <si>
    <t>edwige.devaux@aphp.fr</t>
  </si>
  <si>
    <t>valerie.metral@aphp.fr</t>
  </si>
  <si>
    <t xml:space="preserve">marine.luka@institutimagine.org </t>
  </si>
  <si>
    <t>anais.defreitas@aphp.fr</t>
  </si>
  <si>
    <t>giovanni@fundraisers.fr</t>
  </si>
  <si>
    <t>stephanie.massare@inserm.fr</t>
  </si>
  <si>
    <t xml:space="preserve">amandine.viau@inserm.fr </t>
  </si>
  <si>
    <t xml:space="preserve">thierry.devron@aphp.fr </t>
  </si>
  <si>
    <t>halima.hadi@perkinelmer.com</t>
  </si>
  <si>
    <t xml:space="preserve">genevieve.baujat@aphp.fr </t>
  </si>
  <si>
    <t>f.berruer@arsla.org</t>
  </si>
  <si>
    <t xml:space="preserve">lea.dussauge@institutimagine.org </t>
  </si>
  <si>
    <t xml:space="preserve">nathalie.borel@institutimagine.org </t>
  </si>
  <si>
    <t>anais.gravier@gmail.com</t>
  </si>
  <si>
    <t xml:space="preserve">nouara.lhocine@institutimagine.org </t>
  </si>
  <si>
    <t>marie.de-bazelaire@institutimagine.org</t>
  </si>
  <si>
    <t xml:space="preserve">anne.viseur@institutimagine.org </t>
  </si>
  <si>
    <t>beatrice.langellier-bellevue@aphp.fr</t>
  </si>
  <si>
    <t xml:space="preserve">anne-maud.fablet@institutimagine.org </t>
  </si>
  <si>
    <t>event@amps-asso.org</t>
  </si>
  <si>
    <t xml:space="preserve">blanca.rojo-guyo@institutimagine.org </t>
  </si>
  <si>
    <t xml:space="preserve">helene.chautard@institutimagine.org </t>
  </si>
  <si>
    <t>boris.sorin@institutuimagine.org</t>
  </si>
  <si>
    <t>malika.tiouri@inserm.fr</t>
  </si>
  <si>
    <t>lia.domingues@institutimagine.org</t>
  </si>
  <si>
    <t xml:space="preserve">marianne.barthomier@institutimagine.org </t>
  </si>
  <si>
    <t xml:space="preserve">marisa.j.hernandez@bnpparibas </t>
  </si>
  <si>
    <t xml:space="preserve">nathalie.boddaert@aphp.fr </t>
  </si>
  <si>
    <t>david.grevent@aphp.fr</t>
  </si>
  <si>
    <t xml:space="preserve">marie.de-bazelaire@institutimagine.org </t>
  </si>
  <si>
    <t xml:space="preserve"> afida.djabri@aphp.fr</t>
  </si>
  <si>
    <t xml:space="preserve">genevieve.baujat@institutimagine.org </t>
  </si>
  <si>
    <t>stephanie.dhont@matwin.fr</t>
  </si>
  <si>
    <t>secretaire.departemental@restosducoeur75.org</t>
  </si>
  <si>
    <t xml:space="preserve">cécile.bureau@institutimagine.org </t>
  </si>
  <si>
    <t xml:space="preserve">alice.darchen@institutimagine.org </t>
  </si>
  <si>
    <t>nathalie.borel@institutimagine.org</t>
  </si>
  <si>
    <t xml:space="preserve">edor.kabashi@institutimagine.org </t>
  </si>
  <si>
    <t>kevin.blaizet@aphp.fr</t>
  </si>
  <si>
    <t>airg.permanence@orange.fr</t>
  </si>
  <si>
    <t xml:space="preserve">anne.lenoir@institutimagine.org </t>
  </si>
  <si>
    <t>amira.marouf@institutimagine.org</t>
  </si>
  <si>
    <t xml:space="preserve">j-redenac@chu-montpellier.fr </t>
  </si>
  <si>
    <t>quentin.philippot@institutimagine.org</t>
  </si>
  <si>
    <t>nicolas.garcelon@institutimagine.org</t>
  </si>
  <si>
    <t>christelle.lenoir@inserm.fr</t>
  </si>
  <si>
    <t>marianne.barthomier@institutimagine.org</t>
  </si>
  <si>
    <t>geraldine.mollet@inserm.fr</t>
  </si>
  <si>
    <t xml:space="preserve">melanie.var@inserm </t>
  </si>
  <si>
    <t>Association Young Researchers Imagine &lt;assoyrii@gmail.com&gt;</t>
  </si>
  <si>
    <t xml:space="preserve">gael.menasche@institutimagine.org </t>
  </si>
  <si>
    <t>bernadette.chaisemartin@orange.fr</t>
  </si>
  <si>
    <t>laure.boquet@institutimagine.org</t>
  </si>
  <si>
    <t xml:space="preserve">marielle.cadieu@aphp.fr </t>
  </si>
  <si>
    <t>benedicte-alliot &lt;benedicte-alliot@orange.fr&gt;</t>
  </si>
  <si>
    <t>michaela.semeraro@aphp.fr</t>
  </si>
  <si>
    <t>pauline.canevet@institutimagine.org</t>
  </si>
  <si>
    <t xml:space="preserve">anne-florence.collange@gmail.com </t>
  </si>
  <si>
    <t>patrickguirchoun@gmail.com</t>
  </si>
  <si>
    <t>heloise.halse@institutimagine.org</t>
  </si>
  <si>
    <t>secretariat@rcafactory.com</t>
  </si>
  <si>
    <t>thibaut.perchet@institutimagine.org</t>
  </si>
  <si>
    <t>julia.pernet@institutimagine.org</t>
  </si>
  <si>
    <t>quentinhennocq@gmail.com</t>
  </si>
  <si>
    <t>laure.choupeaux@aphp.fr</t>
  </si>
  <si>
    <t>gabriel.morin@institutimagine.org</t>
  </si>
  <si>
    <t>laurence.legeai-mallet@inserm.fr</t>
  </si>
  <si>
    <t>nouara.lhocine@institutimagine.org</t>
  </si>
  <si>
    <t>william.bertani-torres@institutimagine.org</t>
  </si>
  <si>
    <t>giorgia.sebregondi@cognacq-jay.fr</t>
  </si>
  <si>
    <t>lea.salesse@institutimagine.org</t>
  </si>
  <si>
    <t xml:space="preserve">marianne.barthomier@institutimagine.org    </t>
  </si>
  <si>
    <t xml:space="preserve">nadia.harrani@aphp.fr  </t>
  </si>
  <si>
    <t>ambroise.leleve@institutimagine.org</t>
  </si>
  <si>
    <t>kathia.barro@aphp.fr</t>
  </si>
  <si>
    <t>hello@marionmarinpresse.fr</t>
  </si>
  <si>
    <t>Academique prix coutant</t>
  </si>
  <si>
    <t>ANJH</t>
  </si>
  <si>
    <t>NOMBRE D'EVENEMENTS PAYANTS (LOC+ADS)</t>
  </si>
  <si>
    <t>MONTANT MOYEN</t>
  </si>
  <si>
    <t>0-500€</t>
  </si>
  <si>
    <t>500-2 500€</t>
  </si>
  <si>
    <t>2 500-5 000€</t>
  </si>
  <si>
    <t>5 000-10 000€</t>
  </si>
  <si>
    <t>Plus de 10 000€</t>
  </si>
  <si>
    <t>TOTAL ESTIME HT</t>
  </si>
  <si>
    <t>TOTAL ESTIME TTC</t>
  </si>
  <si>
    <t>Formation CSE</t>
  </si>
  <si>
    <t>Réunion COMxDEV</t>
  </si>
  <si>
    <t>Réunion RH - Marianne B.</t>
  </si>
  <si>
    <t xml:space="preserve">Rencontre IdoAmit pour fondation AP-HP </t>
  </si>
  <si>
    <t xml:space="preserve">Réunion annuelle collège de la pédiatrie </t>
  </si>
  <si>
    <t>Remise de la légion d'honneur - Brigitte FAUROUX</t>
  </si>
  <si>
    <t xml:space="preserve">Voeux Live - Imagine </t>
  </si>
  <si>
    <t>Repas Arnold Munnich</t>
  </si>
  <si>
    <t>Réunion Séverine Delalande</t>
  </si>
  <si>
    <t xml:space="preserve">Tournage com </t>
  </si>
  <si>
    <t xml:space="preserve">Paris PostDoc Seminars </t>
  </si>
  <si>
    <t>Associations KOURIR et Inflam’œil</t>
  </si>
  <si>
    <t>Réunion commerciale Codoc</t>
  </si>
  <si>
    <t>BioLaunchPad</t>
  </si>
  <si>
    <t xml:space="preserve">Meeting Imagine - KFSHRC    </t>
  </si>
  <si>
    <t>Petit déjeuner fonctions support</t>
  </si>
  <si>
    <t>Réunion Spiesser</t>
  </si>
  <si>
    <t>réunion du réseau européen CorEuStem</t>
  </si>
  <si>
    <t>Journée nationale CEREDIH</t>
  </si>
  <si>
    <t>Journées de Biologie Clinique - Institut Pasteur 2024</t>
  </si>
  <si>
    <t>Interview week PPU-IMAGINE</t>
  </si>
  <si>
    <t>Réunion direction x HAVAS</t>
  </si>
  <si>
    <t>Heroes Commitee</t>
  </si>
  <si>
    <t>CHU de Limoges, Centre de référence maladie rare Amylose AL</t>
  </si>
  <si>
    <t>Réunion Com</t>
  </si>
  <si>
    <t>COPIL</t>
  </si>
  <si>
    <t>Demande interne - Julia Pernet</t>
  </si>
  <si>
    <t>Demande interne - Anne Lenoir</t>
  </si>
  <si>
    <t>Séminaire asso</t>
  </si>
  <si>
    <t xml:space="preserve">Moment de convivialité Equipe Morphogenèse du coeur </t>
  </si>
  <si>
    <t>Demande interne - Renaud Magnant</t>
  </si>
  <si>
    <t>Monday seminar</t>
  </si>
  <si>
    <t>Réunion COMxCHRISTIE'S</t>
  </si>
  <si>
    <t>G8</t>
  </si>
  <si>
    <t>Rendu prestataires Heroes</t>
  </si>
  <si>
    <t>Soutenance de thèse Izmiryan Araksya</t>
  </si>
  <si>
    <t xml:space="preserve">Passage de thèse Jean-Philippe Annereau   </t>
  </si>
  <si>
    <t>Olympiades YR2I</t>
  </si>
  <si>
    <t xml:space="preserve">Café des chercheurs </t>
  </si>
  <si>
    <t>Demande interne - Séverine Delalande</t>
  </si>
  <si>
    <t>Heroes Committee</t>
  </si>
  <si>
    <t>Demande DRH - CODEV</t>
  </si>
  <si>
    <t>Repas Cercle des Amis</t>
  </si>
  <si>
    <t>Accueil journalistes</t>
  </si>
  <si>
    <t>Visite ministre</t>
  </si>
  <si>
    <t>Genetalk</t>
  </si>
  <si>
    <t>Demande interne - Marianne B.</t>
  </si>
  <si>
    <t>Demande interne Julia Pernet - Projet ESPACES - COPIL</t>
  </si>
  <si>
    <t>Réunion YR2IxISAxCOM</t>
  </si>
  <si>
    <t>Pot équipe Mickael Menager</t>
  </si>
  <si>
    <t xml:space="preserve">TheRaCil Data Integration workshop   </t>
  </si>
  <si>
    <t>Réunion Melania Cruciani</t>
  </si>
  <si>
    <t>REALISED Meeting</t>
  </si>
  <si>
    <t xml:space="preserve">Séminaire Pierre Royer MIP RAISE </t>
  </si>
  <si>
    <t>Réunion équipe Laure Choupeaux - URC/CIC</t>
  </si>
  <si>
    <t>AG CSE - Interne</t>
  </si>
  <si>
    <t>Bureau éphémère HAVAS</t>
  </si>
  <si>
    <t>Demande interne - Communication</t>
  </si>
  <si>
    <t xml:space="preserve">Visite industriels </t>
  </si>
  <si>
    <t>Demande interne - URC</t>
  </si>
  <si>
    <t>Demande interne - Direction</t>
  </si>
  <si>
    <t>Séminaire des membres fondateurs IHU Evaluation &amp; Roadmap</t>
  </si>
  <si>
    <t>Demande interne - Service Communication</t>
  </si>
  <si>
    <t>Journée RESPIRARE 2024</t>
  </si>
  <si>
    <t xml:space="preserve">Séminaire Pierre Royer    </t>
  </si>
  <si>
    <t>Pot de thèse - Slimane Allali</t>
  </si>
  <si>
    <t>Afterwork - Demande YR2I</t>
  </si>
  <si>
    <t>Demande interne - Rima Nabbout</t>
  </si>
  <si>
    <t>Evaluation HCERES - Marina C.</t>
  </si>
  <si>
    <t>Séminaire des nouveaux arrivants</t>
  </si>
  <si>
    <t>Comité de direction</t>
  </si>
  <si>
    <t>Formation du CA à la génétique</t>
  </si>
  <si>
    <t>Evaluation HCERES CIC</t>
  </si>
  <si>
    <t>Espace studio photo COM</t>
  </si>
  <si>
    <t>Jury BDS</t>
  </si>
  <si>
    <t>43eme SEMINAIRE DE CARDIOLOGIE CONGENITALE ET PEDIATRIQUE : VENTRICULE DROIT</t>
  </si>
  <si>
    <t>Célébration sortie d'article ITA</t>
  </si>
  <si>
    <t>Demande interne - communication (Pâques)</t>
  </si>
  <si>
    <t xml:space="preserve">Team Building / FdeR GO    </t>
  </si>
  <si>
    <t xml:space="preserve">Demande interne - URC </t>
  </si>
  <si>
    <t>Séminaire d'Immuno-Hématologie Rhumatologie - Pierre Royer - Imagine</t>
  </si>
  <si>
    <t>Demande interne - Réunion équipe DEV</t>
  </si>
  <si>
    <t>Demande interne - Severine Delalande</t>
  </si>
  <si>
    <t>Soutenance de thèse Matthias Titeux</t>
  </si>
  <si>
    <t>Réunion de la communication</t>
  </si>
  <si>
    <t>Réunion Contrats Centogene - GRANT</t>
  </si>
  <si>
    <t>Tournois de tennis de table</t>
  </si>
  <si>
    <t>Demande interne - Jordane Galera</t>
  </si>
  <si>
    <t>Lancement RHU Rima</t>
  </si>
  <si>
    <t>DES néuropédiatrie - Pr Isabelle Desguerre</t>
  </si>
  <si>
    <t>Déjeuner Grands Donateurs</t>
  </si>
  <si>
    <t>Réunion de lancement RHU</t>
  </si>
  <si>
    <t>Visite lycéens Colombe</t>
  </si>
  <si>
    <t>Tournage anniversaire 10 ans</t>
  </si>
  <si>
    <t>AG Ligue Contre le Cancer</t>
  </si>
  <si>
    <t>XXVème séminaire de l'UTET</t>
  </si>
  <si>
    <t>Conférence de presse 10ans</t>
  </si>
  <si>
    <t>Cours magistral - Arnold Munnich</t>
  </si>
  <si>
    <t>Journée nationale du CEREMAST</t>
  </si>
  <si>
    <t>AG service médecine génomique maladie rare</t>
  </si>
  <si>
    <t>Séminaire DMU THOROS</t>
  </si>
  <si>
    <t xml:space="preserve">Réunion RC Investigation </t>
  </si>
  <si>
    <t>Réunion de service DIVA</t>
  </si>
  <si>
    <t>Tournage Grant Office</t>
  </si>
  <si>
    <t>Tournage - Jordane Galera</t>
  </si>
  <si>
    <t>Petit déjeuner chercheurs</t>
  </si>
  <si>
    <t>Réunion Communication</t>
  </si>
  <si>
    <t>Accueil commissaires aux comptes</t>
  </si>
  <si>
    <t xml:space="preserve">Meeting Organizing thesis - Hassan Saei   </t>
  </si>
  <si>
    <t xml:space="preserve">Rencontres Innovation Santé </t>
  </si>
  <si>
    <t>ESPACES@Imagine : Restitutions GU</t>
  </si>
  <si>
    <t>Comité brevet</t>
  </si>
  <si>
    <t>10 ans du laboratoire Yanick Crow</t>
  </si>
  <si>
    <t>Séminaire asso YR2I</t>
  </si>
  <si>
    <t xml:space="preserve">ESPACES@Imagine : Rencontres Bana Jabri -GU   </t>
  </si>
  <si>
    <t>Visite partenaire industriel</t>
  </si>
  <si>
    <t xml:space="preserve">Café chercheur </t>
  </si>
  <si>
    <t>Monday Seminar exceptionnel</t>
  </si>
  <si>
    <t>Réunion technique HEROESxChristies</t>
  </si>
  <si>
    <t>Entretiens d'embauches - Patrick Justin</t>
  </si>
  <si>
    <t>Montage ANJH</t>
  </si>
  <si>
    <t xml:space="preserve">Actualités Néphrologiques Jean Hamburger (ANJH) </t>
  </si>
  <si>
    <t>Réunion association AMMi et CRMR Carammel</t>
  </si>
  <si>
    <t>Réunion communication</t>
  </si>
  <si>
    <t>Monday Seminar</t>
  </si>
  <si>
    <t>LIVE 11</t>
  </si>
  <si>
    <t>Journée des associations de la filière AnDDI-Rares</t>
  </si>
  <si>
    <t>1st IEI Spring School</t>
  </si>
  <si>
    <t>Séminaire exeptionnel</t>
  </si>
  <si>
    <t xml:space="preserve">Réunion Sanofi iAwards </t>
  </si>
  <si>
    <t xml:space="preserve">Renforcement de la Synergie et de la Performance au Deuxième Étage    </t>
  </si>
  <si>
    <t>Demande interne - RH</t>
  </si>
  <si>
    <t>Formation incendie</t>
  </si>
  <si>
    <t>Montage SYSMEX</t>
  </si>
  <si>
    <t>Montage Congrès YR2I</t>
  </si>
  <si>
    <t>AG Immeuble du 20 BD Montparnasse</t>
  </si>
  <si>
    <t>Café Chercheur AMI</t>
  </si>
  <si>
    <t>25 ans de l'association IRIS</t>
  </si>
  <si>
    <t>Demande interne - Stanislas Lyonnet</t>
  </si>
  <si>
    <t>Jury MD-PhD</t>
  </si>
  <si>
    <t>Soirée interne répétition de chant</t>
  </si>
  <si>
    <t>Demande interne - Laboratoire</t>
  </si>
  <si>
    <t xml:space="preserve">Soirée Fondation Square </t>
  </si>
  <si>
    <t>INTERMOC</t>
  </si>
  <si>
    <t>Cercle DirCom</t>
  </si>
  <si>
    <t>Présentation Pr Guillaume Canaud</t>
  </si>
  <si>
    <t>Shooting photo Arnold M.</t>
  </si>
  <si>
    <t>Projet européen EJP RD</t>
  </si>
  <si>
    <t>Ouverture semaine QVCT</t>
  </si>
  <si>
    <t xml:space="preserve">Présentation LMRH   </t>
  </si>
  <si>
    <t>Pot HDR - Dr CHEMINANT</t>
  </si>
  <si>
    <t>Présentation stagiaires</t>
  </si>
  <si>
    <t>Cérémonie de remise de la Légion d'Honneur - Hawa Keita-Meyer</t>
  </si>
  <si>
    <t>Table ronde - RH</t>
  </si>
  <si>
    <t>Réunion interne préparatoire RAISE</t>
  </si>
  <si>
    <t xml:space="preserve">Réunion LEAT   </t>
  </si>
  <si>
    <t xml:space="preserve">Semaine QVCT - Théâtre à la carte </t>
  </si>
  <si>
    <t>Afterwork - Demande ISA</t>
  </si>
  <si>
    <t>Thèse Mégane Brusson</t>
  </si>
  <si>
    <t>Semaine QVCT - Session Gestion du stress</t>
  </si>
  <si>
    <t>Meeting genomic facility</t>
  </si>
  <si>
    <t>Reunion échange inter-services</t>
  </si>
  <si>
    <t>3ème jeudi de génétique</t>
  </si>
  <si>
    <t xml:space="preserve">Elena PhD interview </t>
  </si>
  <si>
    <t>Pot - Vincent Abramowski</t>
  </si>
  <si>
    <t xml:space="preserve">Demande direction - Sigolène MEILHAC </t>
  </si>
  <si>
    <t>Journées Nationales NeuroSphinx</t>
  </si>
  <si>
    <t xml:space="preserve">Semaine QVCT - Atelier 2 tonnes </t>
  </si>
  <si>
    <t>Séminaire DMU MICADO</t>
  </si>
  <si>
    <t>Comité Carnot</t>
  </si>
  <si>
    <t xml:space="preserve">Salle de catering </t>
  </si>
  <si>
    <t>Conseil d'Administration</t>
  </si>
  <si>
    <t xml:space="preserve">5e Rencontres Ville – Hôpital d’Allergologie Pédiatrique Pratique   </t>
  </si>
  <si>
    <t xml:space="preserve">Petit déjeuner avec Bana Jabri </t>
  </si>
  <si>
    <t>Journée CRMR PaRaDiGM</t>
  </si>
  <si>
    <t>Shooting photo</t>
  </si>
  <si>
    <t>LIVE 12</t>
  </si>
  <si>
    <t xml:space="preserve">Pot de départ  </t>
  </si>
  <si>
    <t>Kick-off Chaire ENSAD-Imagine-ENS</t>
  </si>
  <si>
    <t>Anniversaire RAISE</t>
  </si>
  <si>
    <t>Réunion FMG</t>
  </si>
  <si>
    <t>Célébration 1700 greffes UIHR</t>
  </si>
  <si>
    <t xml:space="preserve">Pot de départ - MISKINYTE Snaigune </t>
  </si>
  <si>
    <t>Demande interne - DEV</t>
  </si>
  <si>
    <t xml:space="preserve">Petit déjeuner </t>
  </si>
  <si>
    <t>Demande interne - Bana Jabri</t>
  </si>
  <si>
    <t>Tuesday Immunologie</t>
  </si>
  <si>
    <t>Demande interne - COM</t>
  </si>
  <si>
    <t>Demande interne - IT</t>
  </si>
  <si>
    <t>Pot de départ</t>
  </si>
  <si>
    <t>Demi-journée IHU PPR</t>
  </si>
  <si>
    <t>Cadrage parcours de formation managériale</t>
  </si>
  <si>
    <t xml:space="preserve">Réunion Investigation APHP-IMAGINE    </t>
  </si>
  <si>
    <t xml:space="preserve">Célébration d'article </t>
  </si>
  <si>
    <t>COPSS</t>
  </si>
  <si>
    <t xml:space="preserve">Fanzone JO </t>
  </si>
  <si>
    <t>Pot de départ Pauline Marzin</t>
  </si>
  <si>
    <t>Kick off nouveau prestataire site internet - Service communication</t>
  </si>
  <si>
    <t>Pot de départ Pot de départ Zuzanna ANDRZEJEWSKA</t>
  </si>
  <si>
    <t>Ethique Génétique et Dg préconceptionnel (FFGH)</t>
  </si>
  <si>
    <t>Learning expedition ARIIS</t>
  </si>
  <si>
    <t xml:space="preserve">Kick-Off CSF  </t>
  </si>
  <si>
    <t>Fête de service - Nathalie Boddaert</t>
  </si>
  <si>
    <t>Thèse et pot de thèse - Vicente Elorriaga</t>
  </si>
  <si>
    <t>Réunion COM x DEV</t>
  </si>
  <si>
    <t xml:space="preserve">Kick-off mission Start-Up  </t>
  </si>
  <si>
    <t xml:space="preserve">HACKATON Data science    </t>
  </si>
  <si>
    <t>Jury examen oral, ecole doctoral</t>
  </si>
  <si>
    <t>Fête du service de néphrologie pédiatrique</t>
  </si>
  <si>
    <t>Séminaire DMU MEFADO</t>
  </si>
  <si>
    <t>LIVE</t>
  </si>
  <si>
    <t xml:space="preserve">Journée annuelle des surdités génétique </t>
  </si>
  <si>
    <t>Groupe de travail - RPS</t>
  </si>
  <si>
    <t xml:space="preserve">DMU DAY   </t>
  </si>
  <si>
    <t>Assemblée Générale Restos du Coeur de Paris</t>
  </si>
  <si>
    <t>TheRaCil - Annual Meeting</t>
  </si>
  <si>
    <t>Track Santé X-HEC</t>
  </si>
  <si>
    <t>Pot de thèse de Danyel Lee</t>
  </si>
  <si>
    <t>Petit déjeuner des Chercheurs</t>
  </si>
  <si>
    <t>Soutenance de thèse Adrian Gervais</t>
  </si>
  <si>
    <t>Mission inter-inspections - Evaluation Instituts Carnot - Institut Imagine</t>
  </si>
  <si>
    <t>Soirée Valumen/Viseo</t>
  </si>
  <si>
    <t>Journée d'hématologie d'hématologie de l'UPC</t>
  </si>
  <si>
    <t>BDS x asso Main dans la main</t>
  </si>
  <si>
    <t>Réunion d'équipe - DEV</t>
  </si>
  <si>
    <t>Groupe de travail - PAPRIPACT</t>
  </si>
  <si>
    <t>Entretien Khardam</t>
  </si>
  <si>
    <t xml:space="preserve">Matching day Bioentrepreneurs Launchpad   </t>
  </si>
  <si>
    <t xml:space="preserve">Pot de départ équipe Amiel </t>
  </si>
  <si>
    <t>Réunion RAISE</t>
  </si>
  <si>
    <t>Reunion de travail TheRaCil Data integration</t>
  </si>
  <si>
    <t>Journée Nationale TETECOU</t>
  </si>
  <si>
    <t>Réunion DEV</t>
  </si>
  <si>
    <t>Evènement AXA</t>
  </si>
  <si>
    <t>ERN-Skin board meeting</t>
  </si>
  <si>
    <t>Pot de thèse - Garcin Cécile</t>
  </si>
  <si>
    <t>TOURNAGE - QUI BRILLE AU COMBAT</t>
  </si>
  <si>
    <t>Thèse Xhuljana MINGAJ</t>
  </si>
  <si>
    <t>Réunion clôture RHU3</t>
  </si>
  <si>
    <t xml:space="preserve">Demande interne - Point de présentation RH  </t>
  </si>
  <si>
    <t>Point budget HEROES</t>
  </si>
  <si>
    <t xml:space="preserve">Pot de thèse Courtin Thomas   </t>
  </si>
  <si>
    <t>9ème journée nationale FIMARAD</t>
  </si>
  <si>
    <t>Café chercheurs</t>
  </si>
  <si>
    <t>Réunion espaces - Fonctions supports</t>
  </si>
  <si>
    <t>MSCA - NADIS consortium meeting</t>
  </si>
  <si>
    <t>Formation management</t>
  </si>
  <si>
    <t>FIMARAD et le centre de référence TOXIBUL</t>
  </si>
  <si>
    <t>Journée nationale CRMR OPHTARA</t>
  </si>
  <si>
    <t>Visite de la délégation de l'Université de Tohoku</t>
  </si>
  <si>
    <t>Préparation, soutenance et pot de thèse Lauralee ROBICHON</t>
  </si>
  <si>
    <t>Réunion Finances HEROES</t>
  </si>
  <si>
    <t>Shooting Laboratoire d'Oncologie</t>
  </si>
  <si>
    <t>Comex</t>
  </si>
  <si>
    <t>Journée Association de patients</t>
  </si>
  <si>
    <t>Réunion de lancement nouvelle organisation ICaRPs &amp; MAGICs</t>
  </si>
  <si>
    <t>Réunion DEVxDIVA</t>
  </si>
  <si>
    <t>Pot de départ Corinne de Chappedelaine</t>
  </si>
  <si>
    <t>Symposium neurodéveloppement</t>
  </si>
  <si>
    <t>Pot de départ Anne Chalumeau</t>
  </si>
  <si>
    <t>3e Jeudi de la génétique</t>
  </si>
  <si>
    <t>Montage Chair Vulca</t>
  </si>
  <si>
    <t>APHP et l’Université de Sherbrooke</t>
  </si>
  <si>
    <t>Lancement Chair Vulca</t>
  </si>
  <si>
    <t>Réunion Chair Vulca</t>
  </si>
  <si>
    <t>Entretien stagiaire</t>
  </si>
  <si>
    <t>Soutenance de thèse Miriam Villegas</t>
  </si>
  <si>
    <t>HDI DAY</t>
  </si>
  <si>
    <t>Accueil Gael Plastow</t>
  </si>
  <si>
    <t>Pot de thèse Alexis Bertrand</t>
  </si>
  <si>
    <t>Remise de la Légion d'Honneur - Pr Dominique Bremond-Gignac</t>
  </si>
  <si>
    <t>Photos for Team Hermine</t>
  </si>
  <si>
    <t>Réunion DIVA</t>
  </si>
  <si>
    <t>Team Building - Service de Médecine Génomique des Maladies Rares</t>
  </si>
  <si>
    <t>Session de travail Inter-IHU</t>
  </si>
  <si>
    <t>Soutenance de thèse - Hassan Saei</t>
  </si>
  <si>
    <t>Pot de thèse - Maxime Heintzé</t>
  </si>
  <si>
    <t>Pot de thèse - Mathilde Bonnet des Claustres</t>
  </si>
  <si>
    <t>Journée ITHACA</t>
  </si>
  <si>
    <t xml:space="preserve">ITHACA Winter School </t>
  </si>
  <si>
    <t>Aferwork ISA</t>
  </si>
  <si>
    <t xml:space="preserve">Réunion exploitation </t>
  </si>
  <si>
    <t>Journée des associations NeuroSphinx</t>
  </si>
  <si>
    <t>Café ITA</t>
  </si>
  <si>
    <t>Réunion Investigation APHP-IMAGINE</t>
  </si>
  <si>
    <t>Remise Légion d'Honneur Nadia Diebold Angers</t>
  </si>
  <si>
    <t>Séminaire Finances</t>
  </si>
  <si>
    <t>Réunion d'équipe Bana Jabri</t>
  </si>
  <si>
    <t>Joint Meeting CCI Freiburg Institut Imagine</t>
  </si>
  <si>
    <t>Séminaire du pôle recherche et innovation (DGOS)</t>
  </si>
  <si>
    <t>Répétition de chant</t>
  </si>
  <si>
    <t>Goûter de noël des enfants</t>
  </si>
  <si>
    <t>AFTERWORK NOEL YR2I</t>
  </si>
  <si>
    <t xml:space="preserve">Point logistique noël des fonction support </t>
  </si>
  <si>
    <t>Cas d'usage IA et MR</t>
  </si>
  <si>
    <t>Magic/icarp neuro</t>
  </si>
  <si>
    <t>Réunion épilepsies</t>
  </si>
  <si>
    <t>Café des associations</t>
  </si>
  <si>
    <t>QVCT service ORL</t>
  </si>
  <si>
    <t>Thèse Guillaume Mondon</t>
  </si>
  <si>
    <t xml:space="preserve">Conseil IHU </t>
  </si>
  <si>
    <t>Point appel d'offres intégrateurs finance</t>
  </si>
  <si>
    <t>1st Committee for MAGICs meetings' thematic program</t>
  </si>
  <si>
    <t>Réunion Investigation</t>
  </si>
  <si>
    <t>Visite AI Carnot</t>
  </si>
  <si>
    <t>Passage de thèse Letizia Fontana</t>
  </si>
  <si>
    <t>Conseil d'administration</t>
  </si>
  <si>
    <t>Réservation Corinne Antignac</t>
  </si>
  <si>
    <t>Soutenance de thèse Nicolas Guégan</t>
  </si>
  <si>
    <t>Journée INTERMOC</t>
  </si>
  <si>
    <t>Goûter de noël interne</t>
  </si>
  <si>
    <t>Soirée de Noël services supports</t>
  </si>
  <si>
    <t>Pot de départ Sabrina El yazidi</t>
  </si>
  <si>
    <t xml:space="preserve">3eme Jeudi de la génétique </t>
  </si>
  <si>
    <t>Alumni Imagine</t>
  </si>
  <si>
    <t>Pot de thèse - Marta MARTIN CORREDERA</t>
  </si>
  <si>
    <t>Séminaire Long Read Sequencing</t>
  </si>
  <si>
    <t>Tournage ITW MC</t>
  </si>
  <si>
    <t>Thesis defense-Kitsada KANGBOONRUANG</t>
  </si>
  <si>
    <t>Quizz de la génétique</t>
  </si>
  <si>
    <t>nadia.bahi-buisson@aphp.fr</t>
  </si>
  <si>
    <t>brigitte.fauroux@aphp.fr</t>
  </si>
  <si>
    <t>com@institutimagine.org</t>
  </si>
  <si>
    <t>secretariat@institutimagine.org</t>
  </si>
  <si>
    <t>severine.delalande@institutimagine.org</t>
  </si>
  <si>
    <t>angelique.gaba@aphp.fr</t>
  </si>
  <si>
    <t>anne.lenoir@institutimagine;Org</t>
  </si>
  <si>
    <t>alexandre.pierga@institutimagine.org</t>
  </si>
  <si>
    <t>anne.lenoir@institutimagine.org</t>
  </si>
  <si>
    <t>sandrine.ettlin@aphp.fr</t>
  </si>
  <si>
    <t>arthur@codoc.co</t>
  </si>
  <si>
    <t>pauline.seiter@institutimagine.org</t>
  </si>
  <si>
    <t>zuzanna.andrzejewska@institutimagine.org</t>
  </si>
  <si>
    <t>su-jin.paik@institutimagine.org</t>
  </si>
  <si>
    <t>dany.anglicheau@aphp.fr</t>
  </si>
  <si>
    <t>nathalie.lefort@institutimagine.org</t>
  </si>
  <si>
    <t>contact@jbcneckerpasteur.fr</t>
  </si>
  <si>
    <t xml:space="preserve">maura.samarani@institutimagine.org    </t>
  </si>
  <si>
    <t>arnaud.jaccard@chu-limoges.fr</t>
  </si>
  <si>
    <t>annie.benbaruch@institutimagine.org</t>
  </si>
  <si>
    <t xml:space="preserve">cindy.michel@institutimagine.org </t>
  </si>
  <si>
    <t>renaud.magnant@institutimagine.org</t>
  </si>
  <si>
    <t>araksya.izmiryan@inserm.fr</t>
  </si>
  <si>
    <t xml:space="preserve">jean-philippe.annereau@medetia.com   </t>
  </si>
  <si>
    <t xml:space="preserve">maxime.batignes@institutimagine.org   </t>
  </si>
  <si>
    <t xml:space="preserve">zuzanna.piwkowska@institutimagine.org   </t>
  </si>
  <si>
    <t>melania.cruciani@institutimagine.org</t>
  </si>
  <si>
    <t xml:space="preserve">rima.nabbout@aphp.fr </t>
  </si>
  <si>
    <t xml:space="preserve">victor.bruyere@aphp.fr </t>
  </si>
  <si>
    <t xml:space="preserve">wilfried.loewen@institutimagine.org    </t>
  </si>
  <si>
    <t>moussa.sy@institutimagine.org</t>
  </si>
  <si>
    <t>alexane.dufay@institutimagine.org</t>
  </si>
  <si>
    <t xml:space="preserve">melania.cruciani@institutimagine.org </t>
  </si>
  <si>
    <t>sandra.colas@aphp.fr</t>
  </si>
  <si>
    <t xml:space="preserve">angelique.gaba@aphp.fr    </t>
  </si>
  <si>
    <t>slimane.allali@aphp.fr</t>
  </si>
  <si>
    <t>lucile.marchal@institutimagine.org</t>
  </si>
  <si>
    <t xml:space="preserve">ines.rajbaoui@institutimagine.org  </t>
  </si>
  <si>
    <t>marine.novell@institutimagine.org</t>
  </si>
  <si>
    <t>michaela.semeraro@aphp.fr    </t>
  </si>
  <si>
    <t>damien.bonnet@aphp.fr</t>
  </si>
  <si>
    <t xml:space="preserve">amandine.viau@inserm.fr   </t>
  </si>
  <si>
    <t>boris.bessot@institutimagine.org</t>
  </si>
  <si>
    <t xml:space="preserve">despina.moshous@inserm.fr    </t>
  </si>
  <si>
    <t xml:space="preserve">matthias.titeux@inserm.fr   </t>
  </si>
  <si>
    <t xml:space="preserve">thibaut.perchet@institutimagine.org  </t>
  </si>
  <si>
    <t>rosalie.borry@institutimagine.org</t>
  </si>
  <si>
    <t>jordane.galera@institutimagine.org</t>
  </si>
  <si>
    <t xml:space="preserve">leila.guenineche@institutimagine.org  </t>
  </si>
  <si>
    <t>Stephanie.Lefevre@ligue-cancer.net</t>
  </si>
  <si>
    <t>mbm.cfde.nck@aphp.fr</t>
  </si>
  <si>
    <t>arnold.munnich@inserm.fr</t>
  </si>
  <si>
    <t xml:space="preserve">afcollange@gmail.com   </t>
  </si>
  <si>
    <t xml:space="preserve">margarita.maille@aphp.fr    </t>
  </si>
  <si>
    <t xml:space="preserve">leila.guenineche@institutimagine.org   </t>
  </si>
  <si>
    <t xml:space="preserve">hassan.saei@inserm.fr    </t>
  </si>
  <si>
    <t xml:space="preserve">julia.pernet@institutimagine.org    </t>
  </si>
  <si>
    <t xml:space="preserve">benoit.monegier@polytechnique.edu    </t>
  </si>
  <si>
    <t xml:space="preserve">yanickcrow@mac.com    </t>
  </si>
  <si>
    <t xml:space="preserve">julia.pernet@institutimagine.org  </t>
  </si>
  <si>
    <t xml:space="preserve">
secretariat.afgc.nck@aphp.fr   </t>
  </si>
  <si>
    <t>paula.santabarbara-ruiz@institutimagine.org</t>
  </si>
  <si>
    <t xml:space="preserve">alexane.dufaye@institutimagine.org   </t>
  </si>
  <si>
    <t xml:space="preserve">patrick.justin@institutimagine.org    </t>
  </si>
  <si>
    <t xml:space="preserve">Secretariat@anjh-congres.fr </t>
  </si>
  <si>
    <t xml:space="preserve">manuel.schiff@aphp.fr    </t>
  </si>
  <si>
    <t xml:space="preserve">lazaro.lorenzo-diaz@inserm.fr    </t>
  </si>
  <si>
    <t xml:space="preserve">paula.santabarbara-ruiz@institutimagine.org    </t>
  </si>
  <si>
    <t xml:space="preserve">sabrina.el-yazidi@institutimagine.org    </t>
  </si>
  <si>
    <t>jennifer.sannegond@institutimagine.org</t>
  </si>
  <si>
    <t>anne-marie.fraynal@institutimagine.org</t>
  </si>
  <si>
    <t>koskas.priscillia@sysmex.fr</t>
  </si>
  <si>
    <t>3C &lt;3c@3c.fr&gt;</t>
  </si>
  <si>
    <t>cecile.bureau@institutimagine.org</t>
  </si>
  <si>
    <t xml:space="preserve">virginie.miliere@associationiris.org    </t>
  </si>
  <si>
    <t>michela.Deleidi@institutimagine.org</t>
  </si>
  <si>
    <t>Agathe@savourrfood.com</t>
  </si>
  <si>
    <t xml:space="preserve">nadia.harrani@aphp.fr    </t>
  </si>
  <si>
    <t>clara.sanchez@idaf-asso.fr</t>
  </si>
  <si>
    <t xml:space="preserve">sandra.colas@aphp.fr  </t>
  </si>
  <si>
    <t>fanny.schiappapietre@institutimagine.org</t>
  </si>
  <si>
    <t xml:space="preserve">geraldine.mollet@inserm.fr    </t>
  </si>
  <si>
    <t xml:space="preserve">morgane.cheminant@aphp.fr   </t>
  </si>
  <si>
    <t xml:space="preserve">jennifer.sannegond@institutimagine.org    </t>
  </si>
  <si>
    <t>yasmine.ainouz@institutimagine.org</t>
  </si>
  <si>
    <t>lila.taibi@aphp.fr</t>
  </si>
  <si>
    <t xml:space="preserve">emilie.panafieu@inserm.fr    </t>
  </si>
  <si>
    <t xml:space="preserve">megane.brusson@institutimagine.org   </t>
  </si>
  <si>
    <t xml:space="preserve">annarita.miccio@institutimagine.org    </t>
  </si>
  <si>
    <t>ines.rajbaoui@institutimagine.org   </t>
  </si>
  <si>
    <t>secretariat.afgc.nck@aphp.fr</t>
  </si>
  <si>
    <t>megane.brusson@institutimagine.org   </t>
  </si>
  <si>
    <t xml:space="preserve">vincent.abramowski@inserm.fr    </t>
  </si>
  <si>
    <t>sigolene.meilhac@pasteur.fr</t>
  </si>
  <si>
    <t xml:space="preserve">tiphaine.piron@aphp.fr    </t>
  </si>
  <si>
    <t xml:space="preserve">fanny.schiappapietre@institutimagine.org    </t>
  </si>
  <si>
    <t>nadine.voisenet@aphp.fr</t>
  </si>
  <si>
    <t xml:space="preserve">
leila.guenineche@institutimagine.org    </t>
  </si>
  <si>
    <t xml:space="preserve">isabelle.hascoet2@aphp.fr    </t>
  </si>
  <si>
    <t xml:space="preserve">lilia.ben-slama@aphp.fr   </t>
  </si>
  <si>
    <t xml:space="preserve">laure.verlin@institutimagine.org    </t>
  </si>
  <si>
    <t>jean-michel.dupont@aphp.fr</t>
  </si>
  <si>
    <t xml:space="preserve">pierre.quartier@aphp.fr    </t>
  </si>
  <si>
    <t xml:space="preserve">snaigune.miskinyte@inserm.fr   </t>
  </si>
  <si>
    <t>louise.cheneau@institutimagine.org</t>
  </si>
  <si>
    <t xml:space="preserve">emmanuel.martin@inserm.fr  </t>
  </si>
  <si>
    <t>eric.lemaur@institutimagine.org</t>
  </si>
  <si>
    <t xml:space="preserve">snaigune.miskinyte@inserm.fr    </t>
  </si>
  <si>
    <t>leila.guenineche@institutimagine.org</t>
  </si>
  <si>
    <t xml:space="preserve">pauline.marzin@aphp.fr    </t>
  </si>
  <si>
    <t>priyanka.loganathan@institutimagine.org</t>
  </si>
  <si>
    <t xml:space="preserve">genevieve.baujat@aphp.fr  </t>
  </si>
  <si>
    <t xml:space="preserve">thibaut.perchet@institutimagine.org </t>
  </si>
  <si>
    <t xml:space="preserve">nathalie.boddaert@aphp.fr  </t>
  </si>
  <si>
    <t>vicente.elorriaga@inserm.fr</t>
  </si>
  <si>
    <t>cyrielle.valet@institutimagine.org</t>
  </si>
  <si>
    <t xml:space="preserve">rifat@hec.fr   </t>
  </si>
  <si>
    <t>abigail.bejou@institutimagine.org</t>
  </si>
  <si>
    <t xml:space="preserve">amandine.berton@aphp.fr   </t>
  </si>
  <si>
    <t>anne.deimardejabrun@aphp.fr</t>
  </si>
  <si>
    <t xml:space="preserve">secretariat.afgc.nck@aphp.fr </t>
  </si>
  <si>
    <t xml:space="preserve">afida.djabri@aphp.fr    </t>
  </si>
  <si>
    <t xml:space="preserve">edwige.devaux@aphp.fr   </t>
  </si>
  <si>
    <t>ad75.secretairedepartemental@restosducoeur.org</t>
  </si>
  <si>
    <t>ulysse.olagne@institutimagine.org</t>
  </si>
  <si>
    <t xml:space="preserve">bioentrepreneurs@institutimagine.org  </t>
  </si>
  <si>
    <t>adrian.gervais@institutimagine.org</t>
  </si>
  <si>
    <t>fanny.gayda@institutimagine.org</t>
  </si>
  <si>
    <t>zuzanna.piwkowska@institutimagine.org</t>
  </si>
  <si>
    <t>myriam.de-chalendar@aphp.fr</t>
  </si>
  <si>
    <t>charlotte.claris@axa.fr</t>
  </si>
  <si>
    <t xml:space="preserve">coordination@ern-skin.eu    </t>
  </si>
  <si>
    <t xml:space="preserve">cecile.garcin@institutimagine.org  </t>
  </si>
  <si>
    <t>fanny.truant@hotmail.fr</t>
  </si>
  <si>
    <t xml:space="preserve">xhuljana.mingaj@institutimagine.org    </t>
  </si>
  <si>
    <t>lea.dussauge@institutimagine.org</t>
  </si>
  <si>
    <t xml:space="preserve">thomas.courtin@aphp.fr </t>
  </si>
  <si>
    <t xml:space="preserve">federico.bertoli@institutimagine.org    </t>
  </si>
  <si>
    <t>saskia.oro@aphp.fr</t>
  </si>
  <si>
    <t>dominique.bremond@aphp.fr</t>
  </si>
  <si>
    <t>lauralee.robichon@institutimagine.org</t>
  </si>
  <si>
    <t xml:space="preserve">diogobe.ndao@aphp.fr </t>
  </si>
  <si>
    <t>ines.rajbaoui@institutimagine.org</t>
  </si>
  <si>
    <t>frederic.causeret@inserm.fr</t>
  </si>
  <si>
    <t>anne.chalumeau@institutimagine.org</t>
  </si>
  <si>
    <t>miriam.villegas@institutimagine.org</t>
  </si>
  <si>
    <t>marie.ayoub@aphp.fr</t>
  </si>
  <si>
    <t xml:space="preserve">secretariat@rcafactory.com   </t>
  </si>
  <si>
    <t>sonia.pose@aphp.fr</t>
  </si>
  <si>
    <t>alexis.bertrand@institutimagine.org</t>
  </si>
  <si>
    <t>nathalie.devergnes@aphp.fr</t>
  </si>
  <si>
    <t>sara.el-hoss@institutimagine.org</t>
  </si>
  <si>
    <t>celia.cardoso@institutimagine.org</t>
  </si>
  <si>
    <t xml:space="preserve">hassan.saei@inserm.fr  </t>
  </si>
  <si>
    <t>maxime.heintze@institutimagine.org</t>
  </si>
  <si>
    <t>mathilde.bonnet-des-claustres@inserm.fr</t>
  </si>
  <si>
    <t xml:space="preserve"> lilia.ben-slama@aphp.fr</t>
  </si>
  <si>
    <t xml:space="preserve">lilia.ben-slama@aphp.fr    </t>
  </si>
  <si>
    <t>nadia.angers-diebold@interieur.gouv.fr</t>
  </si>
  <si>
    <t>charlotte.benhaim-durin@institutimagine.org</t>
  </si>
  <si>
    <t>anne.dumaine@institutimagine.org</t>
  </si>
  <si>
    <t>vincent.vauchel@sante.gouv.fr</t>
  </si>
  <si>
    <t>malorie.tancrez@institutimagine.org</t>
  </si>
  <si>
    <t>nathalie.boddaert@aphp.fr</t>
  </si>
  <si>
    <t>julie.tahraoui@institutimagine.org</t>
  </si>
  <si>
    <t>melissa.cassard@institutimagine.org</t>
  </si>
  <si>
    <t>sophie.le-mottais@aphp.fr</t>
  </si>
  <si>
    <t>guillaume.mondon@institutimagine.org</t>
  </si>
  <si>
    <t>Leila.guenineche@institutimagine.org</t>
  </si>
  <si>
    <t>letizia.fontana@institutimagine.org</t>
  </si>
  <si>
    <t>corinne.antignac@institutimagine.org</t>
  </si>
  <si>
    <t>nicolas.guegan@inserm.fr</t>
  </si>
  <si>
    <t>sabrina.el-yazidi@institutimagine.org</t>
  </si>
  <si>
    <t xml:space="preserve">corinne.de-chappedelaine@inserm.fr </t>
  </si>
  <si>
    <t>kitsada.kang.sc@gmail.com</t>
  </si>
  <si>
    <t>maud.charles@institutimagine.org</t>
  </si>
  <si>
    <t>Vaincre la mucovicidose</t>
  </si>
  <si>
    <t>17e rencontre patients ARTuR</t>
  </si>
  <si>
    <t>Journées PEDIAC</t>
  </si>
  <si>
    <t>Congrès annuel de l'ANDCS</t>
  </si>
  <si>
    <t>REUNION du PERSONNEL ACADEMIE DES SCIENCES - ALAIN FISCHER</t>
  </si>
  <si>
    <t>Rencnontre anuelle des professionnels de l'épidermolyse bulleuse</t>
  </si>
  <si>
    <t>Journée scientifique autour des mastocytoses</t>
  </si>
  <si>
    <t>melanie.var@inserm.fr</t>
  </si>
  <si>
    <t>jeanne.magnan@andcs.org</t>
  </si>
  <si>
    <t>angelique.sauvestre@debra.fr</t>
  </si>
  <si>
    <t>BNP CARDIF</t>
  </si>
  <si>
    <t xml:space="preserve">Réunion IMMEDICA Pharma </t>
  </si>
  <si>
    <t>Club Utilisateurs XN - SYSMEX</t>
  </si>
  <si>
    <t>BNP CARDIF - Conseil de surveillance</t>
  </si>
  <si>
    <t>Journée E.C.H.A.N.G.E - GFHGNP</t>
  </si>
  <si>
    <t>BNP CARDIF - Evénement Digital Courtage</t>
  </si>
  <si>
    <t>elodie.grandsaigne-fessy@bnpparibas.com</t>
  </si>
  <si>
    <t xml:space="preserve">armelle.richiardi@immedica.com   </t>
  </si>
  <si>
    <t>sandra.wurtz@bnpparibas.com</t>
  </si>
  <si>
    <t>franck.pignard@bnpparibas.com</t>
  </si>
  <si>
    <t>JIE DPI - Agence Biomedecine</t>
  </si>
  <si>
    <t>HEC Paris Startup Launchpad - Masterclass</t>
  </si>
  <si>
    <t>VEXAS WORKSHOP</t>
  </si>
  <si>
    <t>Séminaire en Infectiologie Pediatrique</t>
  </si>
  <si>
    <t>Paris Vision Seminar - Foundation Fighting Blindness</t>
  </si>
  <si>
    <t>3e Conférence Grands Donateurs et Philanthropie</t>
  </si>
  <si>
    <t>Colloque de lancement du CCNE du numérique</t>
  </si>
  <si>
    <t>Journée ArchoPuce</t>
  </si>
  <si>
    <t>ELRIG FORUM</t>
  </si>
  <si>
    <t>Journée SFPIO</t>
  </si>
  <si>
    <t>veronique.lebris@biomedecine.fr</t>
  </si>
  <si>
    <t xml:space="preserve">rebouillat-lesieur@hec.fr   </t>
  </si>
  <si>
    <t>af.collange@gmail.com</t>
  </si>
  <si>
    <t>n.gelbert@fvls.fr</t>
  </si>
  <si>
    <t>abement@fightingblindness.org</t>
  </si>
  <si>
    <t>manon@fundraisers.fr</t>
  </si>
  <si>
    <t>lydie.billet@comite-ethique.fr</t>
  </si>
  <si>
    <t>cecile@alphavisa.com</t>
  </si>
  <si>
    <t>Thomasedmonds78@gmail.com</t>
  </si>
  <si>
    <t>martin.biosse-duplan@aphp.fr</t>
  </si>
  <si>
    <t>COMPILATION DES EVENEMENTS ENTRE 2014 et 2025</t>
  </si>
  <si>
    <t>Réunion Admin HGID</t>
  </si>
  <si>
    <t>Réunion DPF</t>
  </si>
  <si>
    <t>Réunion Pr QUARTIER - Mr XERRI - Mme SARTON</t>
  </si>
  <si>
    <t>Réunion hebdo Magic</t>
  </si>
  <si>
    <t>Café étudiants</t>
  </si>
  <si>
    <t>Réunion du CNPU pour les universitaires de pédiatrie</t>
  </si>
  <si>
    <t>Soirée de service au SAU</t>
  </si>
  <si>
    <t>CAC interim</t>
  </si>
  <si>
    <t>Réunion Admin, Abel/Casanova</t>
  </si>
  <si>
    <t>Réunion du Comité Exécutif du RHU</t>
  </si>
  <si>
    <t>Afterwork Gamenight</t>
  </si>
  <si>
    <t>Bureau éphémère</t>
  </si>
  <si>
    <t>Moment convivial service MGMR</t>
  </si>
  <si>
    <t>Nephromeeting</t>
  </si>
  <si>
    <t>Réunion d'équipe</t>
  </si>
  <si>
    <t>Visite grands donateurs</t>
  </si>
  <si>
    <t>Formation iRaiser</t>
  </si>
  <si>
    <t>Journée Dr Warehouse</t>
  </si>
  <si>
    <t>Séminaire exceptionnel</t>
  </si>
  <si>
    <t>Réunion Développement - Finances</t>
  </si>
  <si>
    <t>Séminaire de direction APHP // GHU Saclay</t>
  </si>
  <si>
    <t>Kick off équipe Biolaunchpad</t>
  </si>
  <si>
    <t xml:space="preserve">Programme Biolaunchpad </t>
  </si>
  <si>
    <t>Symposium du Club "Cils, Fagelles, Centrosomes"</t>
  </si>
  <si>
    <t>RDV Julien-Loïc Garin Fondation de France Asia</t>
  </si>
  <si>
    <t>Session découverte de vos talents -  Biolaunchpad</t>
  </si>
  <si>
    <t>Séminaire du DMU DEMIURGE (SU)</t>
  </si>
  <si>
    <t>Journées AOJBC</t>
  </si>
  <si>
    <t>Repas d'équipe - NCB-OH - 2ème étage</t>
  </si>
  <si>
    <t>Visite d`Olivier Goy</t>
  </si>
  <si>
    <t>Biolaunchpad</t>
  </si>
  <si>
    <t>LIVE 14</t>
  </si>
  <si>
    <t>Soutenance de thèse Estelle BOURBON</t>
  </si>
  <si>
    <t>Departure party - Team of Professor Alain Hovnanian</t>
  </si>
  <si>
    <t>CEREDIH - Nizar MAHLAOUI</t>
  </si>
  <si>
    <t>Formation parcours managérial</t>
  </si>
  <si>
    <t>Pot de départ Brieuc PEROT</t>
  </si>
  <si>
    <t>CHANDELEUR 2025</t>
  </si>
  <si>
    <t>Séminaire codoc : Sales &amp; Marketing</t>
  </si>
  <si>
    <t>Session Nouveaux Arrivants</t>
  </si>
  <si>
    <t>Soutenance de thèse</t>
  </si>
  <si>
    <t xml:space="preserve">Colloque Français des Jeunes Chercheurs en Mucoviscidose   </t>
  </si>
  <si>
    <t>Interview week PPU-IMAGINE moment convivial</t>
  </si>
  <si>
    <t>Journée annuelle du PEPR</t>
  </si>
  <si>
    <t>Réunion équipe epilepsie</t>
  </si>
  <si>
    <t>COMEX</t>
  </si>
  <si>
    <t>Echanges de bonnes pratiques Curie &amp; Pasteur</t>
  </si>
  <si>
    <t>Formation Seminaire Cut&amp;run</t>
  </si>
  <si>
    <t>Pot de départ Alice Valagussa</t>
  </si>
  <si>
    <t xml:space="preserve">Réunion de la direction </t>
  </si>
  <si>
    <t>YRS/PPS</t>
  </si>
  <si>
    <t>Chaire VULCA - 4e réunion de COPIL</t>
  </si>
  <si>
    <t>Séminaire du Comex du GHU</t>
  </si>
  <si>
    <t>Soutenance Thèse Marie Jeanpierre</t>
  </si>
  <si>
    <t>Reunion DPF - affectation du personnel</t>
  </si>
  <si>
    <t>Entretient RH - Centre de séminaire</t>
  </si>
  <si>
    <t>Reunion DPF - Bilan</t>
  </si>
  <si>
    <t>Séance photo NCB</t>
  </si>
  <si>
    <t>Petit déjeuner YR2I-ISA nouveaux arrivants</t>
  </si>
  <si>
    <t>Scéance photo</t>
  </si>
  <si>
    <t>Entretien annuel</t>
  </si>
  <si>
    <t>Génétalks JMR</t>
  </si>
  <si>
    <t>HALathon</t>
  </si>
  <si>
    <t>Tournage JLC</t>
  </si>
  <si>
    <t>Entretien Tracy G.</t>
  </si>
  <si>
    <t>Journée annuelle du groupe pédiatrie de la Société Française de Recherche en Médecine du Sommeil</t>
  </si>
  <si>
    <t>Point Biolaunchpad</t>
  </si>
  <si>
    <t>Pot de thèse</t>
  </si>
  <si>
    <t>SFGM TC -groupe pédiatrique</t>
  </si>
  <si>
    <t>Repas d'équipe</t>
  </si>
  <si>
    <t>Etudiants Biolaunchpad</t>
  </si>
  <si>
    <t>Journée des 20 ans de LEA</t>
  </si>
  <si>
    <t>Echanges Leem</t>
  </si>
  <si>
    <t>SESAME</t>
  </si>
  <si>
    <t>Séminaire d’Immunologie, d’Hématologie et de Rhumatologie pédiatriques « Pierre Royer – Imagine »</t>
  </si>
  <si>
    <t>Séminaire Pierre Royer de Néphrologie Pédiatrique</t>
  </si>
  <si>
    <t>Visite Ministre</t>
  </si>
  <si>
    <t>Cercle des amis</t>
  </si>
  <si>
    <t>Moment convivial services support</t>
  </si>
  <si>
    <t>Session Biolaunchpad</t>
  </si>
  <si>
    <t>Visiting Professor - Alessandra Biffi</t>
  </si>
  <si>
    <t>Pot de départ Jessica Kachmar</t>
  </si>
  <si>
    <t>Seminaire Pierre Royer</t>
  </si>
  <si>
    <t>Demande intezrne Edor K.</t>
  </si>
  <si>
    <t>Seminar Matthew Ricci</t>
  </si>
  <si>
    <t>Café CSE</t>
  </si>
  <si>
    <t>Journée annuelle CRMR RESPIRARE</t>
  </si>
  <si>
    <t>Reunion  BD/Compta</t>
  </si>
  <si>
    <t>Journée d'hématologie Necker Cochin</t>
  </si>
  <si>
    <t>SEMINAIRE DE CARDIOLOGIE PEDIATRIQUE</t>
  </si>
  <si>
    <t>Séminaire stratégique trimestriel du comité de direction CODOC</t>
  </si>
  <si>
    <t>Point centre de séminaire - Onboarding</t>
  </si>
  <si>
    <t>Réunion Discussion Collab variant</t>
  </si>
  <si>
    <t>CAC mission 2025</t>
  </si>
  <si>
    <t>Exceptional Seminar</t>
  </si>
  <si>
    <t>Soirée RIRE</t>
  </si>
  <si>
    <t>Soutenance de thèse Maud de Dieuleveult</t>
  </si>
  <si>
    <t>4th international consensus meeting on Robin sequence</t>
  </si>
  <si>
    <t>Montage Croix-Rouge</t>
  </si>
  <si>
    <t>Mardi de la philosophie</t>
  </si>
  <si>
    <t>Pléniaire Angel Santé</t>
  </si>
  <si>
    <t>Présentation Rapport Résilience Croix-Rouge</t>
  </si>
  <si>
    <t>COPIL HAVAS</t>
  </si>
  <si>
    <t>Réunion Direction</t>
  </si>
  <si>
    <t>PROJET EPU JUBILE ACTIV</t>
  </si>
  <si>
    <t>JOURNEE NATIONALE CEREMAST</t>
  </si>
  <si>
    <t>Point centre de séminaire</t>
  </si>
  <si>
    <t>Inauguration Chaire HEMERA</t>
  </si>
  <si>
    <t xml:space="preserve">Journée MIP - CRMR RAISE  </t>
  </si>
  <si>
    <t xml:space="preserve">Event interne : pâques </t>
  </si>
  <si>
    <t>Séminaire Mavendra Singh</t>
  </si>
  <si>
    <t xml:space="preserve">Reunion hebdo magic </t>
  </si>
  <si>
    <t>Heroes comittee</t>
  </si>
  <si>
    <t>Réunion Annie B.</t>
  </si>
  <si>
    <t>Evènement Club ETI IDF</t>
  </si>
  <si>
    <t xml:space="preserve">Réunion Variant </t>
  </si>
  <si>
    <t>Journée Formation sur le CMV</t>
  </si>
  <si>
    <t xml:space="preserve">18e Rencontre Patients - ARTuR Association </t>
  </si>
  <si>
    <t>Afterwork Biolaunchpad</t>
  </si>
  <si>
    <t>Décoration Liz Blackburn</t>
  </si>
  <si>
    <t>Team crow diner</t>
  </si>
  <si>
    <t xml:space="preserve">Café Sobriété </t>
  </si>
  <si>
    <t xml:space="preserve">Jeudi de la génétique </t>
  </si>
  <si>
    <t>Shooting Labo</t>
  </si>
  <si>
    <t>Pot de départ Juliette Lemoine</t>
  </si>
  <si>
    <t>Réunion finances</t>
  </si>
  <si>
    <t>Soutenance de thèse Paul BASTARD</t>
  </si>
  <si>
    <t>Point Centre de séminaire</t>
  </si>
  <si>
    <t>Réunion fonds de dotation KCNT1</t>
  </si>
  <si>
    <t>Conférence philosophie</t>
  </si>
  <si>
    <t>Réunion philanthropie</t>
  </si>
  <si>
    <t>Evenement WAAT</t>
  </si>
  <si>
    <t>Journée des asso</t>
  </si>
  <si>
    <t>Visite préparatoire Qatar Foundation</t>
  </si>
  <si>
    <t xml:space="preserve">Seminaire en l'honneur d'Alain Alain Fischer </t>
  </si>
  <si>
    <t>70 ans de l'AJSPI</t>
  </si>
  <si>
    <t>Journée Scientifique programme de recherche MED-OOC</t>
  </si>
  <si>
    <t>Symposium DEE - RHU Innov4-ePiK</t>
  </si>
  <si>
    <t>Shooting DIVA</t>
  </si>
  <si>
    <t>Club Utilisateurs XN</t>
  </si>
  <si>
    <t>Soirée KPMG Avocats</t>
  </si>
  <si>
    <t>Congrès des Apprentis-Chercheurs</t>
  </si>
  <si>
    <t>Réunion - Demande Séverine D.</t>
  </si>
  <si>
    <t>Evénement signature convention donateurs</t>
  </si>
  <si>
    <t>Symposium PKC</t>
  </si>
  <si>
    <t>Assemblée Générale 20 BD Montparnasse</t>
  </si>
  <si>
    <t>Réunion de travail</t>
  </si>
  <si>
    <t>Séminaire de l’audit interne AXA</t>
  </si>
  <si>
    <t>Congress YR2I</t>
  </si>
  <si>
    <t>Point Planning IMRC</t>
  </si>
  <si>
    <t>40 ème anniversaire association Transhépate</t>
  </si>
  <si>
    <t>Séminaire DMU COLT</t>
  </si>
  <si>
    <t>PEREUR Rachel PhD defense</t>
  </si>
  <si>
    <t>Réunion équipe épilepsie</t>
  </si>
  <si>
    <t>Semaine QVCT</t>
  </si>
  <si>
    <t>Réunion de selection des pitchs</t>
  </si>
  <si>
    <t>Innov4-ePiK réunion Servier</t>
  </si>
  <si>
    <t>Afterwork EKIDEN / Semaine Bien-être</t>
  </si>
  <si>
    <t>Réunion Projet AIDY2</t>
  </si>
  <si>
    <t>Dev'drink Pasteur/Imagine</t>
  </si>
  <si>
    <t>Melinda Dejean</t>
  </si>
  <si>
    <t>Projet LABO + INATHERYS O HERMINE</t>
  </si>
  <si>
    <t>Session de pilate - ISA</t>
  </si>
  <si>
    <t>ABSYS CYBORG</t>
  </si>
  <si>
    <t>Café chercheur</t>
  </si>
  <si>
    <t>CAIR 3</t>
  </si>
  <si>
    <t>Réunion COM</t>
  </si>
  <si>
    <t xml:space="preserve">Réunion de direction </t>
  </si>
  <si>
    <t>Visite Grands donateurs (TG MC et AB)</t>
  </si>
  <si>
    <t>Accueil des nouveaux arrivants</t>
  </si>
  <si>
    <t>Conference by Rui Zhang</t>
  </si>
  <si>
    <t>Réunion Laurence LM</t>
  </si>
  <si>
    <t>CA Praga  (mécène)</t>
  </si>
  <si>
    <t>Café Sobriété</t>
  </si>
  <si>
    <t>Master Conseil génétique</t>
  </si>
  <si>
    <t>CRMR PARADIGM</t>
  </si>
  <si>
    <t>Moment de convivialité UIHR</t>
  </si>
  <si>
    <t>Temps de rencontre Imagine-APHP</t>
  </si>
  <si>
    <t>Comité Executif RHU Innov4-ePiK</t>
  </si>
  <si>
    <t>Pot de thèse Elisa Erjavec</t>
  </si>
  <si>
    <t>Présentation d'un outil IA "Biolevate"</t>
  </si>
  <si>
    <t>Réunions MSD AVENIR</t>
  </si>
  <si>
    <t>6e Rencontres Ville – Hôpital d’Allergologie Pédiatrique Pratique</t>
  </si>
  <si>
    <t>Brainsto Havas/Imagine</t>
  </si>
  <si>
    <t>Cercle des Amis</t>
  </si>
  <si>
    <t>Montage ERN-SKIN</t>
  </si>
  <si>
    <t>Point Rh Léa F. // Point Maura</t>
  </si>
  <si>
    <t>PPU-IMAGINE Info meeting</t>
  </si>
  <si>
    <t>Réunion DIVA &amp; Marie Petit</t>
  </si>
  <si>
    <t>Réunion RC</t>
  </si>
  <si>
    <t>Séminaire du DMU PRIME</t>
  </si>
  <si>
    <t>ERN-Skin scientific day</t>
  </si>
  <si>
    <t>Evénement Banijay</t>
  </si>
  <si>
    <t>Pot de thèse HDR</t>
  </si>
  <si>
    <t>Congrès ANDCS</t>
  </si>
  <si>
    <t xml:space="preserve">COMEX Moment convivial </t>
  </si>
  <si>
    <t>Afterwork YR2I - Game night</t>
  </si>
  <si>
    <t>Defense de thèse Alice Valagussa</t>
  </si>
  <si>
    <t>Journée RHU + Index</t>
  </si>
  <si>
    <t>SAB - REUNION  GR EX</t>
  </si>
  <si>
    <t xml:space="preserve">Fête du service radio pédiatrie </t>
  </si>
  <si>
    <t>Entretien de recrutement</t>
  </si>
  <si>
    <t>Aferwork</t>
  </si>
  <si>
    <t>Point facturation - Centre de séminaire</t>
  </si>
  <si>
    <t>Réunion Rima N.</t>
  </si>
  <si>
    <t>Point Aidy</t>
  </si>
  <si>
    <t>CA Entresemble</t>
  </si>
  <si>
    <t>Séminaire Cadres du DMU Cancérologie</t>
  </si>
  <si>
    <t>Réunion Copil Indice</t>
  </si>
  <si>
    <t>Journée annuelle du DMU Gériatrie du GHU.Centre</t>
  </si>
  <si>
    <t>Réunion direction</t>
  </si>
  <si>
    <t>Entretient d'embauche</t>
  </si>
  <si>
    <t>LIVE de rentrée</t>
  </si>
  <si>
    <t>Réunion Hélène Chautard</t>
  </si>
  <si>
    <t>Réunion Epilepsie</t>
  </si>
  <si>
    <t>DMU DAY</t>
  </si>
  <si>
    <t>REUNION EQUIPE LABO JEANNE AMIEL</t>
  </si>
  <si>
    <t>Inauguration REVIO - HEROES</t>
  </si>
  <si>
    <t>5ème Journée FOH</t>
  </si>
  <si>
    <t>Réservation Christine Bole</t>
  </si>
  <si>
    <t>Visite Servier</t>
  </si>
  <si>
    <t>Réunion COPSS</t>
  </si>
  <si>
    <t>Pot de départ Julia Pernet</t>
  </si>
  <si>
    <t>Conférence budgétaire</t>
  </si>
  <si>
    <t>Formation azote</t>
  </si>
  <si>
    <t>Montage Dessine moi un mouton</t>
  </si>
  <si>
    <t>Colloque annuel de l'association Dessine-Moi Un Mouton</t>
  </si>
  <si>
    <t>Pot de thèse Aboutiman Maryam</t>
  </si>
  <si>
    <t>Novo Nordisk Symposium</t>
  </si>
  <si>
    <t>Point marché public</t>
  </si>
  <si>
    <t>Réunion IT</t>
  </si>
  <si>
    <t>Réunion de lancement Quadral Property</t>
  </si>
  <si>
    <t>DES Dermatologie</t>
  </si>
  <si>
    <t>TEAM BUILDING inter équipe</t>
  </si>
  <si>
    <t>SYMPOSIUM INTERNATIONAL SUR LES SYNDROMES DE DEFICIT EN CREATINE CÉRÉBRALE</t>
  </si>
  <si>
    <t>Soirée - SYMPOSIUM INTERNATIONAL SUR LES SYNDROMES DE DEFICIT EN CREATINE CÉRÉBRALE</t>
  </si>
  <si>
    <t>Réunion Partenariats Industriels</t>
  </si>
  <si>
    <t>Formations sécurité incendie</t>
  </si>
  <si>
    <t>Pot de départ Mathilde Bonnet des Claustres et Guillaume Mondon</t>
  </si>
  <si>
    <t>Club des Innovateurs</t>
  </si>
  <si>
    <t>REUNION RECHERCHE CLINIQUE VALERIE CORMIER DAIRE ET SON EQUIPE</t>
  </si>
  <si>
    <t>Meeting GH &amp; MB (ITA)</t>
  </si>
  <si>
    <t>Pot de départ Damelys Calderon</t>
  </si>
  <si>
    <t>10ème journée FIMARAD</t>
  </si>
  <si>
    <t>Atelier pilote BNP</t>
  </si>
  <si>
    <t>Réunion patients RAISE</t>
  </si>
  <si>
    <t>Déjeuner conférence Cercle des Amis</t>
  </si>
  <si>
    <t>Hyperion User Forum - CEA</t>
  </si>
  <si>
    <t>Axa Management Comittee</t>
  </si>
  <si>
    <t>Journée recherche et Innovation TETECOU</t>
  </si>
  <si>
    <t>Montage Fête de la science Gdos</t>
  </si>
  <si>
    <t>Fête de la science Gdos</t>
  </si>
  <si>
    <t>Fête de la science</t>
  </si>
  <si>
    <t>IMAGINE DEMAIN</t>
  </si>
  <si>
    <t>Journée scientifique SFR Necker</t>
  </si>
  <si>
    <t xml:space="preserve">Thèse de médecine </t>
  </si>
  <si>
    <t>Filière FILFOIE</t>
  </si>
  <si>
    <t>Petit déj nouveau-arrivants</t>
  </si>
  <si>
    <t>Réunion correspondants IT</t>
  </si>
  <si>
    <t>Matching Day</t>
  </si>
  <si>
    <t>Rencontre Incontinentia Pigmenti</t>
  </si>
  <si>
    <t>2ème atelier pilote BNP</t>
  </si>
  <si>
    <t>Thèse Valentine FAURE BARDON</t>
  </si>
  <si>
    <t>Réunion Medtiwin</t>
  </si>
  <si>
    <t>Nomination MARLIN Sandrin</t>
  </si>
  <si>
    <t>40 ANS DE L'AOI</t>
  </si>
  <si>
    <t>Absys cyborg formation</t>
  </si>
  <si>
    <t>Réunion juridique</t>
  </si>
  <si>
    <t>Revision thèse</t>
  </si>
  <si>
    <t>Soirée des Lauréats</t>
  </si>
  <si>
    <t>Remise de chèques Musical Essec</t>
  </si>
  <si>
    <t>Réunion de direction</t>
  </si>
  <si>
    <t>RDV Partenaires</t>
  </si>
  <si>
    <t>Philosophe@Imagine</t>
  </si>
  <si>
    <t>RHU IRIS - Réunion annuelle du Consortium et du Comité Scientifique</t>
  </si>
  <si>
    <t>Pot de thèse REYES</t>
  </si>
  <si>
    <t>Soutenance  et pot de thèse Benoît HEID</t>
  </si>
  <si>
    <t>Point IMAGINExSONILOG</t>
  </si>
  <si>
    <t>Pot de départ - Lilian Gréau</t>
  </si>
  <si>
    <t>Afterwork</t>
  </si>
  <si>
    <t>Point Equipe Juridique</t>
  </si>
  <si>
    <t>Revue comptable</t>
  </si>
  <si>
    <t>Monday seminar : Lunch with the speaker</t>
  </si>
  <si>
    <t>Soutenance de thèse Pierre Duquesne</t>
  </si>
  <si>
    <t>Réunion Medicen Maladies rares x Imagine</t>
  </si>
  <si>
    <t>Conseil scientifique des Assises de génétique</t>
  </si>
  <si>
    <t xml:space="preserve">Cohorte Innovation Days   </t>
  </si>
  <si>
    <t>WORKSHOP EMBT</t>
  </si>
  <si>
    <t>Prix Fondation BMS</t>
  </si>
  <si>
    <t>Préparation Cancer Grand Challenge</t>
  </si>
  <si>
    <t>Cocktail Interne - Lab service Hermine</t>
  </si>
  <si>
    <t>Réunion parthena</t>
  </si>
  <si>
    <t>Réunion budget</t>
  </si>
  <si>
    <t>Réunion Partenariat Juridique</t>
  </si>
  <si>
    <t>Evènement Grands Donateurs</t>
  </si>
  <si>
    <t>Seminaire du GET</t>
  </si>
  <si>
    <t>Pot de thèse BLOCH-QUEYRAT Coralie</t>
  </si>
  <si>
    <t>PIERRE ROYER</t>
  </si>
  <si>
    <t>Game Night YR2I  - November Afterwork</t>
  </si>
  <si>
    <t>FAIR3</t>
  </si>
  <si>
    <t>Association RADAR Atelier Plan d'action 2026</t>
  </si>
  <si>
    <t>TKT meeting</t>
  </si>
  <si>
    <t xml:space="preserve">Les Clés du Lysosome   </t>
  </si>
  <si>
    <t>Journée Achropuce</t>
  </si>
  <si>
    <t xml:space="preserve">XXe Journées Nationale du Groupe de Pharmacologie Clinique Oncologique    </t>
  </si>
  <si>
    <t>Soirée annuelle Gdos</t>
  </si>
  <si>
    <t>Réunion Partenariats Industriels/Juridique</t>
  </si>
  <si>
    <t>Point reco DIVA</t>
  </si>
  <si>
    <t>pot de concours DR INSERM T TROVATI MACIEL</t>
  </si>
  <si>
    <t>Pot de thèse Charlotte Boussard</t>
  </si>
  <si>
    <t>reunion DPF /RH</t>
  </si>
  <si>
    <t>Permanence Imagine APHP</t>
  </si>
  <si>
    <t>SOFFOET-ITHACA</t>
  </si>
  <si>
    <t>Afterwork ISA</t>
  </si>
  <si>
    <t>Réunion annuelle 2025 FACES4KIDS</t>
  </si>
  <si>
    <t>Journée neurosphynx</t>
  </si>
  <si>
    <t>Pot de thèse Audrey Brugnoli</t>
  </si>
  <si>
    <t>Inauguration partenariat Fondation BNPP</t>
  </si>
  <si>
    <t>Pot de thèse Patricia Panikulam</t>
  </si>
  <si>
    <t>Point PPU interview week</t>
  </si>
  <si>
    <t>Conseil IHU + Meeting Directeurs de Laboratoire</t>
  </si>
  <si>
    <t>Analyse workshop</t>
  </si>
  <si>
    <t>ERN SKIN</t>
  </si>
  <si>
    <t xml:space="preserve">Conseil d'administration </t>
  </si>
  <si>
    <t>Cours Dysplasies Squelettiques</t>
  </si>
  <si>
    <t>Pot de Thèse Hailun Li</t>
  </si>
  <si>
    <t xml:space="preserve">Pot de départ </t>
  </si>
  <si>
    <t>Jubilé Arnold Munnich</t>
  </si>
  <si>
    <t>Pot de thèse Clotilde Devin</t>
  </si>
  <si>
    <t>Noel interne</t>
  </si>
  <si>
    <t xml:space="preserve">Noel Fonction support </t>
  </si>
  <si>
    <t>REUNION FINANCE</t>
  </si>
  <si>
    <t>reunion finance bilan</t>
  </si>
  <si>
    <t>Module commun parcours stagiaires</t>
  </si>
  <si>
    <t>Seminar of Prof. Holm Uhlig (University of Oxford) and Dr. J</t>
  </si>
  <si>
    <t>Pot de thèse Clément Cotil</t>
  </si>
  <si>
    <t xml:space="preserve">Afterwrk Noel </t>
  </si>
  <si>
    <t>Académique</t>
  </si>
  <si>
    <t>david.Lavergne@chu-limoges.fr</t>
  </si>
  <si>
    <t>farid@soo-far.com</t>
  </si>
  <si>
    <t>david.romano@ap-hm.fr</t>
  </si>
  <si>
    <t>isild.moreau@croix-rouge.fr</t>
  </si>
  <si>
    <t>paula.doceur@curie.fr</t>
  </si>
  <si>
    <t>carole.chehowah@gmail.com</t>
  </si>
  <si>
    <t>Maike.GILLIOT@cea.fr</t>
  </si>
  <si>
    <t>stephanie.kervestin@ariis.fr</t>
  </si>
  <si>
    <t>benoit.blanchet@aphp.fr</t>
  </si>
  <si>
    <t>chloe.barbant@gmail.com</t>
  </si>
  <si>
    <t>kateryna.lemishchenko@ebmt.org</t>
  </si>
  <si>
    <t>rana@parsebiosciences.com</t>
  </si>
  <si>
    <t>melissa@codoc.co</t>
  </si>
  <si>
    <t xml:space="preserve">olompas@vaincrelamuco.org    </t>
  </si>
  <si>
    <t>jeanferaud59@yahoo.</t>
  </si>
  <si>
    <t>ana.debies@inserm.fr</t>
  </si>
  <si>
    <t>amwilmotte@gmail.com</t>
  </si>
  <si>
    <t>eva.galateau@andcs.org</t>
  </si>
  <si>
    <t>benedicte.alliot@aoi.asso.fr</t>
  </si>
  <si>
    <t>debora.lanznaster@aphp.fr</t>
  </si>
  <si>
    <t>directeur@vml-asso.org</t>
  </si>
  <si>
    <t>valerie.malan@aphp.fr</t>
  </si>
  <si>
    <t>maura.samarani@institutimagine.org</t>
  </si>
  <si>
    <t>olivier.brissaud@chu-bordeaux.fr</t>
  </si>
  <si>
    <t>alexandra.goncalvesnevespolard@aphp.fr</t>
  </si>
  <si>
    <t>mylene.tewtel@institutimagine.org</t>
  </si>
  <si>
    <t>guillaume.dorval@aphp.fr</t>
  </si>
  <si>
    <t>patrick.justin@institutimagine.org</t>
  </si>
  <si>
    <t>pierre-hassim.malbec@institutimagine.org</t>
  </si>
  <si>
    <t>valerie.munos@aphp.fr</t>
  </si>
  <si>
    <t>bioentrepreneurs@institutimagine.org</t>
  </si>
  <si>
    <t>alexandre.benmerah@inserm.fr</t>
  </si>
  <si>
    <t>marlene.ruat@aphp.fr</t>
  </si>
  <si>
    <t>adelaide.ferment@inserm.fr</t>
  </si>
  <si>
    <t>edor.kabashi@institutimagine.org</t>
  </si>
  <si>
    <t>estelle.bourbon@live.fr</t>
  </si>
  <si>
    <t>maryam.attar@institutimagine.org</t>
  </si>
  <si>
    <t>nizar.mahlaoui@aphp.fr</t>
  </si>
  <si>
    <t>brieuc.perot@institutimagine.org</t>
  </si>
  <si>
    <t>louise.e.condon@gmail.com</t>
  </si>
  <si>
    <t>laetitia.le-falher@inserm.fr</t>
  </si>
  <si>
    <t>fatou.camara@institutimagine.org</t>
  </si>
  <si>
    <t>alice.valagussa@institutimagine.org</t>
  </si>
  <si>
    <t>marie.jeanpierre@institutimagine.org</t>
  </si>
  <si>
    <t>assoyrii@institutimagine.org</t>
  </si>
  <si>
    <t>emilie.panafieu@inserm.fr</t>
  </si>
  <si>
    <t>virgile.kabanda@institutimagine.org</t>
  </si>
  <si>
    <t>emmanuelle.jouanguy@institutimagine.org</t>
  </si>
  <si>
    <t xml:space="preserve">fanny.rollin@aphp.fr  </t>
  </si>
  <si>
    <t>devin.clotilde@gmail.com</t>
  </si>
  <si>
    <t>ida.zahui@institutimagine.org</t>
  </si>
  <si>
    <t>despina.moshous@inserm.fr</t>
  </si>
  <si>
    <t>molka.oueslati@aphp.fr</t>
  </si>
  <si>
    <t>guillaume.huart@institutimagine.org</t>
  </si>
  <si>
    <t>jessica.kachmar@inserm.fr</t>
  </si>
  <si>
    <t>nabil.kaci@institutimagine.org</t>
  </si>
  <si>
    <t>fanny.bajolle@aphp.fr</t>
  </si>
  <si>
    <t>adrien.schvartz@institutimagine.org</t>
  </si>
  <si>
    <t>maud.de-dieuleveult@inserm.fr</t>
  </si>
  <si>
    <t>veronique.abadie@aphp.fr</t>
  </si>
  <si>
    <t>nadia.harrani@aphp.fr</t>
  </si>
  <si>
    <t>naomi.arnaudin@institutimagine.org</t>
  </si>
  <si>
    <t>judith.halewa@institutimagine.org</t>
  </si>
  <si>
    <t>antoine.poirot@institutimagine.org</t>
  </si>
  <si>
    <t xml:space="preserve">arnold.munnich@inserm.fr    </t>
  </si>
  <si>
    <t>cleprince@clubeti.org</t>
  </si>
  <si>
    <t>nouara.lhore@institutimagine.org</t>
  </si>
  <si>
    <t>clarisse.elise@aphp.fr</t>
  </si>
  <si>
    <t>secretariah@anjh-congres.fr</t>
  </si>
  <si>
    <t>chverny@chu-angers.fr</t>
  </si>
  <si>
    <t>sara.bizzotto@inserm.fr</t>
  </si>
  <si>
    <t>juliette.lemoine@institutimagine.org</t>
  </si>
  <si>
    <t>paul.bastard@institutimagine.org</t>
  </si>
  <si>
    <t>brigitte.bader-meunier@aphp.fr</t>
  </si>
  <si>
    <t>contact.ajspi@gmail.com</t>
  </si>
  <si>
    <t>aude.magerus@inserm.fr</t>
  </si>
  <si>
    <t>3c@3c.fr</t>
  </si>
  <si>
    <t>rachel.pereur@institutimagine.org</t>
  </si>
  <si>
    <t>celine.kostianovsky@institutimagine.org</t>
  </si>
  <si>
    <t>zoeline.mars@institutimagine.org</t>
  </si>
  <si>
    <t>celine.banal@institutimagine.org</t>
  </si>
  <si>
    <t>dalila.louzi@institutimagine.org</t>
  </si>
  <si>
    <t>melinda.dejean@inserm.fr</t>
  </si>
  <si>
    <t>anne-florence.collange@inserm.fr</t>
  </si>
  <si>
    <t>lilia.ezzili@aphp.fr</t>
  </si>
  <si>
    <t>elisa.erjavec@institutimagine.org</t>
  </si>
  <si>
    <t>jerome.flatot@institutimagine.org</t>
  </si>
  <si>
    <t>isabelle.hascoet2@aphp.fr</t>
  </si>
  <si>
    <t>lucas.fares-taie@inserm.fr</t>
  </si>
  <si>
    <t>lea.nabhan@institutimagine.org</t>
  </si>
  <si>
    <t>marie.guillou@fondation-r-touraine.org</t>
  </si>
  <si>
    <t>wafa.sallem@aphp.fr</t>
  </si>
  <si>
    <t>catherine.champseix@aphp.fr</t>
  </si>
  <si>
    <t>fabienne.charbit-henrion@aphp.fr</t>
  </si>
  <si>
    <t>frederic.rieux-laucat@inserm.fr</t>
  </si>
  <si>
    <t>barbara.alfandari@institutimagine.org</t>
  </si>
  <si>
    <t>cherifa.santangelo@aphp.fr</t>
  </si>
  <si>
    <t>edwige.devaux@ahp.fr</t>
  </si>
  <si>
    <t>christelle.julien@aphp.fr</t>
  </si>
  <si>
    <t>christine.bole@institutimagine.org</t>
  </si>
  <si>
    <t>amalia.stantzou@aphp.fr</t>
  </si>
  <si>
    <t>sandrine.delalande@institutimagine.org</t>
  </si>
  <si>
    <t>fatouma.niakate@institutimagine.org</t>
  </si>
  <si>
    <t>sandrine.vilcot@institutimagine.org</t>
  </si>
  <si>
    <t>helene.lepinay@dessinemoiunmouton.org</t>
  </si>
  <si>
    <t>maryam.aboutiman@inserm.fr</t>
  </si>
  <si>
    <t>emmanuelle.jouanguy@inserm.fr</t>
  </si>
  <si>
    <t>nour.marzouk@aphp.fr</t>
  </si>
  <si>
    <t>christine.bodemer@aphp.fr</t>
  </si>
  <si>
    <t>damelys calderon@institut.imagine.org</t>
  </si>
  <si>
    <t>yoahne.mateus@institutimagine.org</t>
  </si>
  <si>
    <t>sylvia.rose@aphp.fr</t>
  </si>
  <si>
    <t>faurevalentine@gmail.com</t>
  </si>
  <si>
    <t>benoit.heid@inserm.fr</t>
  </si>
  <si>
    <t>reyes.castano-martin@institutimagine.org</t>
  </si>
  <si>
    <t>lilian.greau@institutimagine.org</t>
  </si>
  <si>
    <t>pierre.duquesne@institutimagine.org</t>
  </si>
  <si>
    <t>viviane.barbarisi@mcocongres.com</t>
  </si>
  <si>
    <t>morgane.cheminant@aphp.fr</t>
  </si>
  <si>
    <t>helene.dufresne@aphp.fr / maryam.hammouche@aphp.fr pour la facturation</t>
  </si>
  <si>
    <t>coralie.bloch-queyrat@aphp.fr</t>
  </si>
  <si>
    <t>marc-antoine.silvestrini@institutimagine.org</t>
  </si>
  <si>
    <t>yohane.mateus@institutimagine.org</t>
  </si>
  <si>
    <t>charlotte.broussard@aphp.fr</t>
  </si>
  <si>
    <t>charlotte.bengaim-durin@institutimagine.org</t>
  </si>
  <si>
    <t>andrei.kiselev@institutimagine.org</t>
  </si>
  <si>
    <t>thiphaine.piron@aphp.fr</t>
  </si>
  <si>
    <t>patricia.panikulam@institutimagine.org</t>
  </si>
  <si>
    <t>lola.henry@institutimagine.org</t>
  </si>
  <si>
    <t>evenements@institutilagine.org</t>
  </si>
  <si>
    <t>marianna.parlato@inserm.f</t>
  </si>
  <si>
    <t>emmanuelle.six@inserm.fr</t>
  </si>
  <si>
    <t>clotilde.devin@institut.imagine.org</t>
  </si>
  <si>
    <t>clement.conil@institutimagine.org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</si>
</sst>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u/>
      <sz val="10"/>
      <name val="Arial"/>
      <family val="2"/>
    </font>
    <font>
      <strike/>
      <sz val="10"/>
      <name val="Arial"/>
      <family val="2"/>
    </font>
    <font>
      <b/>
      <sz val="14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C70073"/>
      <name val="Montserrat Medium"/>
      <family val="3"/>
    </font>
    <font>
      <b/>
      <sz val="36"/>
      <color rgb="FFC70073"/>
      <name val="Montserrat Medium"/>
      <family val="3"/>
    </font>
  </fonts>
  <fills count="3">
    <fill>
      <patternFill patternType="none"/>
    </fill>
    <fill>
      <patternFill patternType="gray125"/>
    </fill>
    <fill>
      <patternFill patternType="solid">
        <fgColor rgb="FFC7007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/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shrinkToFit="1"/>
    </xf>
    <xf numFmtId="0" fontId="4" fillId="0" borderId="4" xfId="0" applyFont="1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left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/>
    <xf numFmtId="14" fontId="4" fillId="0" borderId="1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6" fillId="0" borderId="2" xfId="3" applyFont="1" applyFill="1" applyBorder="1" applyAlignment="1">
      <alignment vertical="center"/>
    </xf>
    <xf numFmtId="0" fontId="6" fillId="0" borderId="1" xfId="3" applyFont="1" applyFill="1" applyBorder="1" applyAlignment="1">
      <alignment vertical="center"/>
    </xf>
    <xf numFmtId="0" fontId="6" fillId="0" borderId="6" xfId="3" applyFont="1" applyFill="1" applyBorder="1" applyAlignment="1">
      <alignment horizontal="left"/>
    </xf>
    <xf numFmtId="0" fontId="4" fillId="0" borderId="2" xfId="0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left"/>
    </xf>
    <xf numFmtId="0" fontId="6" fillId="0" borderId="2" xfId="3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0" fontId="6" fillId="0" borderId="6" xfId="3" applyFont="1" applyFill="1" applyBorder="1" applyAlignment="1">
      <alignment horizontal="left" vertical="center"/>
    </xf>
    <xf numFmtId="0" fontId="6" fillId="0" borderId="1" xfId="3" applyFont="1" applyFill="1" applyBorder="1" applyAlignment="1">
      <alignment horizontal="left"/>
    </xf>
    <xf numFmtId="0" fontId="6" fillId="0" borderId="1" xfId="3" applyFont="1" applyFill="1" applyBorder="1" applyAlignment="1">
      <alignment horizontal="left" vertical="center"/>
    </xf>
    <xf numFmtId="14" fontId="4" fillId="0" borderId="1" xfId="0" applyNumberFormat="1" applyFont="1" applyFill="1" applyBorder="1" applyAlignment="1">
      <alignment horizontal="left" vertical="center"/>
    </xf>
    <xf numFmtId="14" fontId="4" fillId="0" borderId="2" xfId="0" applyNumberFormat="1" applyFont="1" applyFill="1" applyBorder="1" applyAlignment="1">
      <alignment horizontal="left" vertical="center"/>
    </xf>
    <xf numFmtId="14" fontId="4" fillId="0" borderId="2" xfId="0" applyNumberFormat="1" applyFont="1" applyFill="1" applyBorder="1" applyAlignment="1">
      <alignment horizontal="left"/>
    </xf>
    <xf numFmtId="14" fontId="4" fillId="0" borderId="0" xfId="0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4" fillId="0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Fill="1" applyBorder="1" applyAlignment="1"/>
    <xf numFmtId="0" fontId="5" fillId="0" borderId="0" xfId="0" applyFont="1" applyAlignment="1"/>
    <xf numFmtId="0" fontId="3" fillId="0" borderId="0" xfId="0" applyFont="1" applyAlignment="1">
      <alignment horizontal="center"/>
    </xf>
    <xf numFmtId="0" fontId="4" fillId="0" borderId="1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8" fontId="4" fillId="0" borderId="1" xfId="0" applyNumberFormat="1" applyFont="1" applyFill="1" applyBorder="1" applyAlignment="1">
      <alignment vertical="center"/>
    </xf>
    <xf numFmtId="0" fontId="4" fillId="0" borderId="2" xfId="0" applyFont="1" applyFill="1" applyBorder="1" applyAlignment="1"/>
    <xf numFmtId="14" fontId="4" fillId="0" borderId="6" xfId="0" applyNumberFormat="1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center" vertical="center"/>
    </xf>
    <xf numFmtId="0" fontId="6" fillId="0" borderId="6" xfId="3" applyFont="1" applyFill="1" applyBorder="1" applyAlignment="1"/>
    <xf numFmtId="0" fontId="4" fillId="0" borderId="7" xfId="0" applyFont="1" applyFill="1" applyBorder="1" applyAlignment="1">
      <alignment horizontal="center" vertical="center"/>
    </xf>
    <xf numFmtId="44" fontId="4" fillId="0" borderId="1" xfId="1" applyFont="1" applyFill="1" applyBorder="1" applyAlignment="1">
      <alignment horizontal="right"/>
    </xf>
    <xf numFmtId="44" fontId="4" fillId="0" borderId="1" xfId="1" applyFont="1" applyFill="1" applyBorder="1" applyAlignment="1">
      <alignment horizontal="right" vertical="center"/>
    </xf>
    <xf numFmtId="44" fontId="4" fillId="0" borderId="2" xfId="1" applyFont="1" applyFill="1" applyBorder="1" applyAlignment="1">
      <alignment horizontal="right" vertical="center"/>
    </xf>
    <xf numFmtId="44" fontId="5" fillId="0" borderId="0" xfId="1" applyFont="1" applyAlignment="1">
      <alignment horizontal="right"/>
    </xf>
    <xf numFmtId="44" fontId="4" fillId="0" borderId="4" xfId="1" applyFont="1" applyFill="1" applyBorder="1" applyAlignment="1">
      <alignment horizontal="right"/>
    </xf>
    <xf numFmtId="44" fontId="7" fillId="0" borderId="1" xfId="1" applyFont="1" applyFill="1" applyBorder="1" applyAlignment="1">
      <alignment horizontal="right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/>
    </xf>
    <xf numFmtId="0" fontId="4" fillId="0" borderId="6" xfId="0" applyFont="1" applyFill="1" applyBorder="1" applyAlignment="1"/>
    <xf numFmtId="0" fontId="6" fillId="0" borderId="1" xfId="3" applyFont="1" applyFill="1" applyBorder="1" applyAlignment="1"/>
    <xf numFmtId="0" fontId="6" fillId="0" borderId="6" xfId="3" applyFont="1" applyFill="1" applyBorder="1" applyAlignment="1">
      <alignment vertical="center"/>
    </xf>
    <xf numFmtId="0" fontId="4" fillId="0" borderId="8" xfId="0" applyFont="1" applyFill="1" applyBorder="1" applyAlignment="1">
      <alignment horizontal="center"/>
    </xf>
    <xf numFmtId="14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44" fontId="4" fillId="0" borderId="0" xfId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/>
    </xf>
    <xf numFmtId="44" fontId="8" fillId="0" borderId="1" xfId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vertical="center"/>
    </xf>
    <xf numFmtId="44" fontId="9" fillId="0" borderId="0" xfId="1" applyFont="1" applyFill="1" applyBorder="1" applyAlignment="1">
      <alignment horizontal="right" vertical="center"/>
    </xf>
    <xf numFmtId="0" fontId="9" fillId="0" borderId="0" xfId="0" applyFont="1" applyFill="1" applyBorder="1" applyAlignment="1"/>
    <xf numFmtId="44" fontId="9" fillId="0" borderId="0" xfId="1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left" vertical="center"/>
    </xf>
    <xf numFmtId="44" fontId="4" fillId="0" borderId="0" xfId="0" applyNumberFormat="1" applyFont="1" applyFill="1" applyBorder="1" applyAlignment="1">
      <alignment horizontal="left"/>
    </xf>
    <xf numFmtId="14" fontId="10" fillId="2" borderId="0" xfId="0" applyNumberFormat="1" applyFont="1" applyFill="1" applyBorder="1" applyAlignment="1">
      <alignment horizontal="left"/>
    </xf>
    <xf numFmtId="44" fontId="10" fillId="2" borderId="0" xfId="0" applyNumberFormat="1" applyFont="1" applyFill="1" applyBorder="1" applyAlignment="1">
      <alignment horizontal="left" vertical="top"/>
    </xf>
    <xf numFmtId="44" fontId="10" fillId="2" borderId="0" xfId="0" applyNumberFormat="1" applyFont="1" applyFill="1" applyBorder="1" applyAlignment="1">
      <alignment horizontal="left" vertical="center"/>
    </xf>
    <xf numFmtId="0" fontId="11" fillId="0" borderId="0" xfId="0" applyFont="1" applyAlignment="1"/>
    <xf numFmtId="0" fontId="12" fillId="0" borderId="0" xfId="0" applyFont="1" applyAlignment="1">
      <alignment horizontal="left"/>
    </xf>
    <xf numFmtId="0" fontId="8" fillId="0" borderId="1" xfId="0" applyFont="1" applyFill="1" applyBorder="1" applyAlignment="1">
      <alignment horizontal="left"/>
    </xf>
    <xf numFmtId="14" fontId="0" fillId="0" borderId="4" xfId="0" applyNumberFormat="1" applyFont="1" applyBorder="1" applyAlignment="1">
      <alignment horizontal="left"/>
    </xf>
    <xf numFmtId="14" fontId="0" fillId="0" borderId="1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44" fontId="4" fillId="0" borderId="1" xfId="1" applyFont="1" applyFill="1" applyBorder="1" applyAlignment="1">
      <alignment vertical="center"/>
    </xf>
  </cellXfs>
  <cellStyles count="5">
    <cellStyle name="Lien hypertexte" xfId="3" builtinId="8"/>
    <cellStyle name="Milliers 2" xfId="4" xr:uid="{00000000-0005-0000-0000-000031000000}"/>
    <cellStyle name="Monétaire" xfId="1" builtinId="4"/>
    <cellStyle name="Monétaire 2" xfId="2" xr:uid="{00000000-0005-0000-0000-00002F000000}"/>
    <cellStyle name="Normal" xfId="0" builtinId="0"/>
  </cellStyles>
  <dxfs count="18">
    <dxf>
      <fill>
        <patternFill>
          <bgColor theme="0" tint="-0.24994659260841701"/>
        </patternFill>
      </fill>
      <border>
        <vertical/>
        <horizontal/>
      </border>
    </dxf>
    <dxf>
      <font>
        <color rgb="FF9C6500"/>
      </font>
      <fill>
        <patternFill>
          <bgColor rgb="FFFFEB9C"/>
        </patternFill>
      </fill>
    </dxf>
    <dxf>
      <font>
        <color theme="1" tint="0.24994659260841701"/>
      </font>
      <fill>
        <patternFill>
          <fgColor theme="0" tint="-0.499984740745262"/>
        </patternFill>
      </fill>
    </dxf>
    <dxf>
      <font>
        <color theme="1" tint="4.9989318521683403E-2"/>
      </font>
      <fill>
        <patternFill>
          <fgColor theme="0" tint="-0.34998626667073579"/>
        </patternFill>
      </fill>
    </dxf>
    <dxf>
      <font>
        <color theme="1" tint="0.24994659260841701"/>
      </font>
      <fill>
        <patternFill>
          <f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fgColor theme="0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  <border>
        <vertical/>
        <horizontal/>
      </border>
    </dxf>
    <dxf>
      <font>
        <color rgb="FF9C6500"/>
      </font>
      <fill>
        <patternFill>
          <bgColor rgb="FFFFEB9C"/>
        </patternFill>
      </fill>
    </dxf>
    <dxf>
      <font>
        <color theme="1" tint="0.24994659260841701"/>
      </font>
      <fill>
        <patternFill>
          <fgColor theme="0" tint="-0.499984740745262"/>
        </patternFill>
      </fill>
    </dxf>
    <dxf>
      <font>
        <color theme="1" tint="4.9989318521683403E-2"/>
      </font>
      <fill>
        <patternFill>
          <fgColor theme="0" tint="-0.34998626667073579"/>
        </patternFill>
      </fill>
    </dxf>
    <dxf>
      <font>
        <color theme="1" tint="0.24994659260841701"/>
      </font>
      <fill>
        <patternFill>
          <f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fgColor theme="0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C70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70073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rgbClr val="C70073"/>
                </a:solidFill>
              </a:rPr>
              <a:t>TYPES DE TARIFS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70073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2B-4403-B8B5-110A855C07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2B-4403-B8B5-110A855C07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62B-4403-B8B5-110A855C07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62B-4403-B8B5-110A855C07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2B-4403-B8B5-110A855C071C}"/>
              </c:ext>
            </c:extLst>
          </c:dPt>
          <c:dLbls>
            <c:dLbl>
              <c:idx val="0"/>
              <c:layout>
                <c:manualLayout>
                  <c:x val="0.1193615544760583"/>
                  <c:y val="2.317497103128621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2B-4403-B8B5-110A855C071C}"/>
                </c:ext>
              </c:extLst>
            </c:dLbl>
            <c:dLbl>
              <c:idx val="1"/>
              <c:layout>
                <c:manualLayout>
                  <c:x val="-0.16377515614156835"/>
                  <c:y val="0.166859791425260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2B-4403-B8B5-110A855C071C}"/>
                </c:ext>
              </c:extLst>
            </c:dLbl>
            <c:dLbl>
              <c:idx val="2"/>
              <c:layout>
                <c:manualLayout>
                  <c:x val="-0.21929215822345594"/>
                  <c:y val="3.244495944380069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2B-4403-B8B5-110A855C071C}"/>
                </c:ext>
              </c:extLst>
            </c:dLbl>
            <c:dLbl>
              <c:idx val="3"/>
              <c:layout>
                <c:manualLayout>
                  <c:x val="-0.13879250520471897"/>
                  <c:y val="-6.952491309385867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2B-4403-B8B5-110A855C071C}"/>
                </c:ext>
              </c:extLst>
            </c:dLbl>
            <c:dLbl>
              <c:idx val="4"/>
              <c:layout>
                <c:manualLayout>
                  <c:x val="-4.1637751561415734E-2"/>
                  <c:y val="-0.115874855156431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2B-4403-B8B5-110A855C071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Feuil1!$B$5:$B$9</c:f>
              <c:strCache>
                <c:ptCount val="5"/>
                <c:pt idx="0">
                  <c:v>Gratuit</c:v>
                </c:pt>
                <c:pt idx="1">
                  <c:v>Tarif académique</c:v>
                </c:pt>
                <c:pt idx="2">
                  <c:v>Coûtant</c:v>
                </c:pt>
                <c:pt idx="3">
                  <c:v>Plein tarif</c:v>
                </c:pt>
                <c:pt idx="4">
                  <c:v>Inconnu</c:v>
                </c:pt>
              </c:strCache>
            </c:strRef>
          </c:cat>
          <c:val>
            <c:numRef>
              <c:f>Feuil1!$C$5:$C$9</c:f>
              <c:numCache>
                <c:formatCode>General</c:formatCode>
                <c:ptCount val="5"/>
                <c:pt idx="0">
                  <c:v>1732</c:v>
                </c:pt>
                <c:pt idx="1">
                  <c:v>61</c:v>
                </c:pt>
                <c:pt idx="2">
                  <c:v>48</c:v>
                </c:pt>
                <c:pt idx="3">
                  <c:v>44</c:v>
                </c:pt>
                <c:pt idx="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B-4403-B8B5-110A855C0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rgbClr val="C70073"/>
                </a:solidFill>
              </a:rPr>
              <a:t>TRANCHES</a:t>
            </a:r>
            <a:r>
              <a:rPr lang="fr-FR" baseline="0">
                <a:solidFill>
                  <a:srgbClr val="C70073"/>
                </a:solidFill>
              </a:rPr>
              <a:t> DES MONTANTS</a:t>
            </a:r>
            <a:endParaRPr lang="fr-FR">
              <a:solidFill>
                <a:srgbClr val="C70073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026-4FAF-94EF-5B7E500E63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26-4FAF-94EF-5B7E500E63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26-4FAF-94EF-5B7E500E63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026-4FAF-94EF-5B7E500E63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26-4FAF-94EF-5B7E500E6391}"/>
              </c:ext>
            </c:extLst>
          </c:dPt>
          <c:dLbls>
            <c:dLbl>
              <c:idx val="0"/>
              <c:layout>
                <c:manualLayout>
                  <c:x val="0.13055555555555556"/>
                  <c:y val="7.87949015063731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026-4FAF-94EF-5B7E500E6391}"/>
                </c:ext>
              </c:extLst>
            </c:dLbl>
            <c:dLbl>
              <c:idx val="1"/>
              <c:layout>
                <c:manualLayout>
                  <c:x val="0.1999999999999999"/>
                  <c:y val="2.31749710312861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026-4FAF-94EF-5B7E500E6391}"/>
                </c:ext>
              </c:extLst>
            </c:dLbl>
            <c:dLbl>
              <c:idx val="2"/>
              <c:layout>
                <c:manualLayout>
                  <c:x val="-0.13055555555555559"/>
                  <c:y val="9.26998841251439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26-4FAF-94EF-5B7E500E6391}"/>
                </c:ext>
              </c:extLst>
            </c:dLbl>
            <c:dLbl>
              <c:idx val="3"/>
              <c:layout>
                <c:manualLayout>
                  <c:x val="-0.19974575427609989"/>
                  <c:y val="-0.1207461052963851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183161597201642"/>
                      <c:h val="0.197753672541245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026-4FAF-94EF-5B7E500E6391}"/>
                </c:ext>
              </c:extLst>
            </c:dLbl>
            <c:dLbl>
              <c:idx val="4"/>
              <c:layout>
                <c:manualLayout>
                  <c:x val="0.31435692495079859"/>
                  <c:y val="-8.0418589100494348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8177322844437497"/>
                      <c:h val="0.175966320527974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026-4FAF-94EF-5B7E500E639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Feuil1!$D$5:$D$9</c:f>
              <c:strCache>
                <c:ptCount val="5"/>
                <c:pt idx="0">
                  <c:v>0-500€</c:v>
                </c:pt>
                <c:pt idx="1">
                  <c:v>500-2 500€</c:v>
                </c:pt>
                <c:pt idx="2">
                  <c:v>2 500-5 000€</c:v>
                </c:pt>
                <c:pt idx="3">
                  <c:v>5 000-10 000€</c:v>
                </c:pt>
                <c:pt idx="4">
                  <c:v>Plus de 10 000€</c:v>
                </c:pt>
              </c:strCache>
            </c:strRef>
          </c:cat>
          <c:val>
            <c:numRef>
              <c:f>Feuil1!$E$5:$E$9</c:f>
              <c:numCache>
                <c:formatCode>_("€"* #,##0.00_);_("€"* \(#,##0.00\);_("€"* "-"??_);_(@_)</c:formatCode>
                <c:ptCount val="5"/>
                <c:pt idx="0">
                  <c:v>55</c:v>
                </c:pt>
                <c:pt idx="1">
                  <c:v>92</c:v>
                </c:pt>
                <c:pt idx="2">
                  <c:v>41</c:v>
                </c:pt>
                <c:pt idx="3">
                  <c:v>33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6-4FAF-94EF-5B7E500E6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4575032</xdr:colOff>
      <xdr:row>1</xdr:row>
      <xdr:rowOff>570</xdr:rowOff>
    </xdr:from>
    <xdr:to>
      <xdr:col>2</xdr:col>
      <xdr:colOff>1560285</xdr:colOff>
      <xdr:row>11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6EE19F2-73C5-493B-A1E3-6DA3F602A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1559281</xdr:colOff>
      <xdr:row>1</xdr:row>
      <xdr:rowOff>1462</xdr:rowOff>
    </xdr:from>
    <xdr:to>
      <xdr:col>3</xdr:col>
      <xdr:colOff>3502810</xdr:colOff>
      <xdr:row>13</xdr:row>
      <xdr:rowOff>149832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CB1BCBC-1451-43B4-8036-15B439678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afcollange@gmail.com" TargetMode="External"/><Relationship Id="rId170" Type="http://schemas.openxmlformats.org/officeDocument/2006/relationships/hyperlink" Target="mailto:marianne.barthomier@institutimagine.org" TargetMode="External"/><Relationship Id="rId268" Type="http://schemas.openxmlformats.org/officeDocument/2006/relationships/hyperlink" Target="mailto:secretariat@institutimagine.org" TargetMode="External"/><Relationship Id="rId475" Type="http://schemas.openxmlformats.org/officeDocument/2006/relationships/hyperlink" Target="mailto:vincent.abramowski@inserm.fr" TargetMode="External"/><Relationship Id="rId682" Type="http://schemas.openxmlformats.org/officeDocument/2006/relationships/hyperlink" Target="mailto:pauline.canevet@institutimagine.org" TargetMode="External"/><Relationship Id="rId128" Type="http://schemas.openxmlformats.org/officeDocument/2006/relationships/hyperlink" Target="mailto:valerie.dupil@aphp" TargetMode="External"/><Relationship Id="rId335" Type="http://schemas.openxmlformats.org/officeDocument/2006/relationships/hyperlink" Target="mailto:angelique.gaba@aphp.fr" TargetMode="External"/><Relationship Id="rId542" Type="http://schemas.openxmlformats.org/officeDocument/2006/relationships/hyperlink" Target="mailto:annie.benbaruch@institutimagine.org" TargetMode="External"/><Relationship Id="rId987" Type="http://schemas.openxmlformats.org/officeDocument/2006/relationships/hyperlink" Target="mailto:sandrine.ettlin@aphp.fr" TargetMode="External"/><Relationship Id="rId1172" Type="http://schemas.openxmlformats.org/officeDocument/2006/relationships/hyperlink" Target="mailto:marc-antoine.silvestrini@institutimagine.org" TargetMode="External"/><Relationship Id="rId402" Type="http://schemas.openxmlformats.org/officeDocument/2006/relationships/hyperlink" Target="mailto:leila.guenineche@institutimagine.org" TargetMode="External"/><Relationship Id="rId847" Type="http://schemas.openxmlformats.org/officeDocument/2006/relationships/hyperlink" Target="mailto:bioentrepreneurs@institutimagine.org" TargetMode="External"/><Relationship Id="rId1032" Type="http://schemas.openxmlformats.org/officeDocument/2006/relationships/hyperlink" Target="mailto:annie.benbaruch@institutimagine.org" TargetMode="External"/><Relationship Id="rId707" Type="http://schemas.openxmlformats.org/officeDocument/2006/relationships/hyperlink" Target="mailto:elodie.grandsaigne-fessy@bnpparibas.com" TargetMode="External"/><Relationship Id="rId914" Type="http://schemas.openxmlformats.org/officeDocument/2006/relationships/hyperlink" Target="mailto:jennifer.sannegond@institutimagine.org" TargetMode="External"/><Relationship Id="rId43" Type="http://schemas.openxmlformats.org/officeDocument/2006/relationships/hyperlink" Target="mailto:genevieve.baujat@aphp.fr" TargetMode="External"/><Relationship Id="rId192" Type="http://schemas.openxmlformats.org/officeDocument/2006/relationships/hyperlink" Target="mailto:marie.de-bazelaire@institutimagine.org" TargetMode="External"/><Relationship Id="rId497" Type="http://schemas.openxmlformats.org/officeDocument/2006/relationships/hyperlink" Target="mailto:maura.samarani@institutimagine.org" TargetMode="External"/><Relationship Id="rId357" Type="http://schemas.openxmlformats.org/officeDocument/2006/relationships/hyperlink" Target="mailto:michaela.semeraro@aphp.fr" TargetMode="External"/><Relationship Id="rId1194" Type="http://schemas.openxmlformats.org/officeDocument/2006/relationships/hyperlink" Target="mailto:clotilde.devin@institut.imagine.org" TargetMode="External"/><Relationship Id="rId217" Type="http://schemas.openxmlformats.org/officeDocument/2006/relationships/hyperlink" Target="mailto:developpeur.gfhgnp@gmail.com" TargetMode="External"/><Relationship Id="rId564" Type="http://schemas.openxmlformats.org/officeDocument/2006/relationships/hyperlink" Target="mailto:marine.novell@institutimagine.org" TargetMode="External"/><Relationship Id="rId771" Type="http://schemas.openxmlformats.org/officeDocument/2006/relationships/hyperlink" Target="mailto:guillaume.dorval@aphp.fr" TargetMode="External"/><Relationship Id="rId869" Type="http://schemas.openxmlformats.org/officeDocument/2006/relationships/hyperlink" Target="mailto:bioentrepreneurs@institutimagine.org" TargetMode="External"/><Relationship Id="rId424" Type="http://schemas.openxmlformats.org/officeDocument/2006/relationships/hyperlink" Target="mailto:despina.moshous@inserm.fr" TargetMode="External"/><Relationship Id="rId631" Type="http://schemas.openxmlformats.org/officeDocument/2006/relationships/hyperlink" Target="mailto:secretariat.afgc.nck@aphp.fr" TargetMode="External"/><Relationship Id="rId729" Type="http://schemas.openxmlformats.org/officeDocument/2006/relationships/hyperlink" Target="mailto:Maike.GILLIOT@cea.fr" TargetMode="External"/><Relationship Id="rId1054" Type="http://schemas.openxmlformats.org/officeDocument/2006/relationships/hyperlink" Target="mailto:barbara.alfandari@institutimagine.org" TargetMode="External"/><Relationship Id="rId936" Type="http://schemas.openxmlformats.org/officeDocument/2006/relationships/hyperlink" Target="mailto:ambroise.leleve@institutimagine.org" TargetMode="External"/><Relationship Id="rId1121" Type="http://schemas.openxmlformats.org/officeDocument/2006/relationships/hyperlink" Target="mailto:pauline.seiter@institutimagine.org" TargetMode="External"/><Relationship Id="rId65" Type="http://schemas.openxmlformats.org/officeDocument/2006/relationships/hyperlink" Target="mailto:wassa.kanoute@aphp.fr" TargetMode="External"/><Relationship Id="rId281" Type="http://schemas.openxmlformats.org/officeDocument/2006/relationships/hyperlink" Target="mailto:mahlaouinizar@gmail.com" TargetMode="External"/><Relationship Id="rId141" Type="http://schemas.openxmlformats.org/officeDocument/2006/relationships/hyperlink" Target="mailto:meriem.garfa@inserm.fr" TargetMode="External"/><Relationship Id="rId379" Type="http://schemas.openxmlformats.org/officeDocument/2006/relationships/hyperlink" Target="mailto:benoit.monegier@polytechnique.edu" TargetMode="External"/><Relationship Id="rId586" Type="http://schemas.openxmlformats.org/officeDocument/2006/relationships/hyperlink" Target="mailto:marie.de-bazelaire@institutimagine.org" TargetMode="External"/><Relationship Id="rId793" Type="http://schemas.openxmlformats.org/officeDocument/2006/relationships/hyperlink" Target="mailto:pauline.canevet@institutimagine.org" TargetMode="External"/><Relationship Id="rId7" Type="http://schemas.openxmlformats.org/officeDocument/2006/relationships/hyperlink" Target="mailto:assoyrii@gmail.com" TargetMode="External"/><Relationship Id="rId239" Type="http://schemas.openxmlformats.org/officeDocument/2006/relationships/hyperlink" Target="mailto:william.bertani-torres@institutimagine.org" TargetMode="External"/><Relationship Id="rId446" Type="http://schemas.openxmlformats.org/officeDocument/2006/relationships/hyperlink" Target="mailto:annie.benbaruch@institutimagine.org" TargetMode="External"/><Relationship Id="rId653" Type="http://schemas.openxmlformats.org/officeDocument/2006/relationships/hyperlink" Target="mailto:malorie.tancrez@institutimagine.org" TargetMode="External"/><Relationship Id="rId1076" Type="http://schemas.openxmlformats.org/officeDocument/2006/relationships/hyperlink" Target="mailto:sandrine.delalande@institutimagine.org" TargetMode="External"/><Relationship Id="rId306" Type="http://schemas.openxmlformats.org/officeDocument/2006/relationships/hyperlink" Target="mailto:alexane.dufay@institutimagine.org" TargetMode="External"/><Relationship Id="rId860" Type="http://schemas.openxmlformats.org/officeDocument/2006/relationships/hyperlink" Target="mailto:despina.moshous@inserm.fr" TargetMode="External"/><Relationship Id="rId958" Type="http://schemas.openxmlformats.org/officeDocument/2006/relationships/hyperlink" Target="mailto:annie.benbaruch@institutimagine.org" TargetMode="External"/><Relationship Id="rId1143" Type="http://schemas.openxmlformats.org/officeDocument/2006/relationships/hyperlink" Target="mailto:maura.samarani@institutimagine.org" TargetMode="External"/><Relationship Id="rId87" Type="http://schemas.openxmlformats.org/officeDocument/2006/relationships/hyperlink" Target="mailto:valerie.metral@aphp.fr" TargetMode="External"/><Relationship Id="rId513" Type="http://schemas.openxmlformats.org/officeDocument/2006/relationships/hyperlink" Target="mailto:assoyrii@gmail.com" TargetMode="External"/><Relationship Id="rId720" Type="http://schemas.openxmlformats.org/officeDocument/2006/relationships/hyperlink" Target="mailto:cecile@alphavisa.com" TargetMode="External"/><Relationship Id="rId818" Type="http://schemas.openxmlformats.org/officeDocument/2006/relationships/hyperlink" Target="mailto:alice.valagussa@institutimagine.org" TargetMode="External"/><Relationship Id="rId1003" Type="http://schemas.openxmlformats.org/officeDocument/2006/relationships/hyperlink" Target="mailto:maura.samarani@institutimagine.org" TargetMode="External"/><Relationship Id="rId1210" Type="http://schemas.openxmlformats.org/officeDocument/2006/relationships/hyperlink" Target="mailto:assoyrii@gmail.com" TargetMode="External"/><Relationship Id="rId14" Type="http://schemas.openxmlformats.org/officeDocument/2006/relationships/hyperlink" Target="mailto:wassa.kanoute@aphp.fr" TargetMode="External"/><Relationship Id="rId163" Type="http://schemas.openxmlformats.org/officeDocument/2006/relationships/hyperlink" Target="mailto:maura.samarani@institutimagine.org" TargetMode="External"/><Relationship Id="rId370" Type="http://schemas.openxmlformats.org/officeDocument/2006/relationships/hyperlink" Target="mailto:Secretariat@anjh-congres.fr" TargetMode="External"/><Relationship Id="rId230" Type="http://schemas.openxmlformats.org/officeDocument/2006/relationships/hyperlink" Target="mailto:julia.pernet@institutimagine.org" TargetMode="External"/><Relationship Id="rId468" Type="http://schemas.openxmlformats.org/officeDocument/2006/relationships/hyperlink" Target="mailto:jennifer.sannegond@institutimagine.org" TargetMode="External"/><Relationship Id="rId675" Type="http://schemas.openxmlformats.org/officeDocument/2006/relationships/hyperlink" Target="mailto:Leila.guenineche@institutimagine.org" TargetMode="External"/><Relationship Id="rId882" Type="http://schemas.openxmlformats.org/officeDocument/2006/relationships/hyperlink" Target="mailto:nabil.kaci@institutimagine.org" TargetMode="External"/><Relationship Id="rId1098" Type="http://schemas.openxmlformats.org/officeDocument/2006/relationships/hyperlink" Target="mailto:leila.guenineche@institutimagine.org" TargetMode="External"/><Relationship Id="rId328" Type="http://schemas.openxmlformats.org/officeDocument/2006/relationships/hyperlink" Target="mailto:severine.delalande@institutimagine.org" TargetMode="External"/><Relationship Id="rId535" Type="http://schemas.openxmlformats.org/officeDocument/2006/relationships/hyperlink" Target="mailto:ambroise.leleve@institutimagine.org" TargetMode="External"/><Relationship Id="rId742" Type="http://schemas.openxmlformats.org/officeDocument/2006/relationships/hyperlink" Target="mailto:ana.debies@inserm.fr" TargetMode="External"/><Relationship Id="rId1165" Type="http://schemas.openxmlformats.org/officeDocument/2006/relationships/hyperlink" Target="mailto:sandrine.vilcot@institutimagine.org" TargetMode="External"/><Relationship Id="rId602" Type="http://schemas.openxmlformats.org/officeDocument/2006/relationships/hyperlink" Target="mailto:xhuljana.mingaj@institutimagine.org" TargetMode="External"/><Relationship Id="rId1025" Type="http://schemas.openxmlformats.org/officeDocument/2006/relationships/hyperlink" Target="mailto:cyrielle.valet@institutimagine.org" TargetMode="External"/><Relationship Id="rId907" Type="http://schemas.openxmlformats.org/officeDocument/2006/relationships/hyperlink" Target="mailto:annie.benbaruch@institutimagine.org" TargetMode="External"/><Relationship Id="rId36" Type="http://schemas.openxmlformats.org/officeDocument/2006/relationships/hyperlink" Target="mailto:dr.isabelle.gautier@gmail.com" TargetMode="External"/><Relationship Id="rId185" Type="http://schemas.openxmlformats.org/officeDocument/2006/relationships/hyperlink" Target="mailto:marie.de-bazelaire@institutimagine.org" TargetMode="External"/><Relationship Id="rId392" Type="http://schemas.openxmlformats.org/officeDocument/2006/relationships/hyperlink" Target="mailto:leila.guenineche@institutimagine.org" TargetMode="External"/><Relationship Id="rId697" Type="http://schemas.openxmlformats.org/officeDocument/2006/relationships/hyperlink" Target="mailto:ambroise.leleve@institutimagine.org" TargetMode="External"/><Relationship Id="rId252" Type="http://schemas.openxmlformats.org/officeDocument/2006/relationships/hyperlink" Target="mailto:giovanni@fundraisers.fr" TargetMode="External"/><Relationship Id="rId1187" Type="http://schemas.openxmlformats.org/officeDocument/2006/relationships/hyperlink" Target="mailto:lea.dussauge@institutimagine.org" TargetMode="External"/><Relationship Id="rId112" Type="http://schemas.openxmlformats.org/officeDocument/2006/relationships/hyperlink" Target="mailto:ang&#233;lique.gaba@aphp.fr" TargetMode="External"/><Relationship Id="rId557" Type="http://schemas.openxmlformats.org/officeDocument/2006/relationships/hyperlink" Target="mailto:snaigune.miskinyte@inserm.fr" TargetMode="External"/><Relationship Id="rId764" Type="http://schemas.openxmlformats.org/officeDocument/2006/relationships/hyperlink" Target="mailto:annie.benbaruch@institutimagine.org" TargetMode="External"/><Relationship Id="rId971" Type="http://schemas.openxmlformats.org/officeDocument/2006/relationships/hyperlink" Target="mailto:catherine.champseix@aphp.fr" TargetMode="External"/><Relationship Id="rId417" Type="http://schemas.openxmlformats.org/officeDocument/2006/relationships/hyperlink" Target="mailto:severine.delalande@institutimagine.org" TargetMode="External"/><Relationship Id="rId624" Type="http://schemas.openxmlformats.org/officeDocument/2006/relationships/hyperlink" Target="mailto:anne.lenoir@institutimagine.org" TargetMode="External"/><Relationship Id="rId831" Type="http://schemas.openxmlformats.org/officeDocument/2006/relationships/hyperlink" Target="mailto:angelique.gaba@aphp.fr" TargetMode="External"/><Relationship Id="rId1047" Type="http://schemas.openxmlformats.org/officeDocument/2006/relationships/hyperlink" Target="mailto:nathalie.boddaert@aphp.fr" TargetMode="External"/><Relationship Id="rId929" Type="http://schemas.openxmlformats.org/officeDocument/2006/relationships/hyperlink" Target="mailto:bioentrepreneurs@institutimagine.org" TargetMode="External"/><Relationship Id="rId1114" Type="http://schemas.openxmlformats.org/officeDocument/2006/relationships/hyperlink" Target="mailto:stephanie.massare@inserm.fr" TargetMode="External"/><Relationship Id="rId58" Type="http://schemas.openxmlformats.org/officeDocument/2006/relationships/hyperlink" Target="mailto:ines.ben-aissa@aphp.fr" TargetMode="External"/><Relationship Id="rId274" Type="http://schemas.openxmlformats.org/officeDocument/2006/relationships/hyperlink" Target="mailto:marianne.barthomier@institutimagine.org" TargetMode="External"/><Relationship Id="rId481" Type="http://schemas.openxmlformats.org/officeDocument/2006/relationships/hyperlink" Target="mailto:emilie.panafieu@inserm.fr" TargetMode="External"/><Relationship Id="rId134" Type="http://schemas.openxmlformats.org/officeDocument/2006/relationships/hyperlink" Target="mailto:CCorne@chu-grenoble.fr" TargetMode="External"/><Relationship Id="rId579" Type="http://schemas.openxmlformats.org/officeDocument/2006/relationships/hyperlink" Target="mailto:maura.samarani@institutimagine.org" TargetMode="External"/><Relationship Id="rId786" Type="http://schemas.openxmlformats.org/officeDocument/2006/relationships/hyperlink" Target="mailto:maryam.attar@institutimagine.org" TargetMode="External"/><Relationship Id="rId993" Type="http://schemas.openxmlformats.org/officeDocument/2006/relationships/hyperlink" Target="mailto:zoeline.mars@institutimagine.org" TargetMode="External"/><Relationship Id="rId341" Type="http://schemas.openxmlformats.org/officeDocument/2006/relationships/hyperlink" Target="mailto:assoyrii@gmail.com" TargetMode="External"/><Relationship Id="rId439" Type="http://schemas.openxmlformats.org/officeDocument/2006/relationships/hyperlink" Target="mailto:maura.samarani@institutimagine.org" TargetMode="External"/><Relationship Id="rId646" Type="http://schemas.openxmlformats.org/officeDocument/2006/relationships/hyperlink" Target="mailto:cyrielle.valet@institutimagine.org" TargetMode="External"/><Relationship Id="rId1069" Type="http://schemas.openxmlformats.org/officeDocument/2006/relationships/hyperlink" Target="mailto:christine.bole@institutimagine.org" TargetMode="External"/><Relationship Id="rId201" Type="http://schemas.openxmlformats.org/officeDocument/2006/relationships/hyperlink" Target="mailto:marie.de-bazelaire@institutimagine.org" TargetMode="External"/><Relationship Id="rId506" Type="http://schemas.openxmlformats.org/officeDocument/2006/relationships/hyperlink" Target="mailto:rima.nabbout@aphp.fr" TargetMode="External"/><Relationship Id="rId853" Type="http://schemas.openxmlformats.org/officeDocument/2006/relationships/hyperlink" Target="mailto:devin.clotilde@gmail.com" TargetMode="External"/><Relationship Id="rId1136" Type="http://schemas.openxmlformats.org/officeDocument/2006/relationships/hyperlink" Target="mailto:benoit.heid@inserm.fr" TargetMode="External"/><Relationship Id="rId713" Type="http://schemas.openxmlformats.org/officeDocument/2006/relationships/hyperlink" Target="mailto:veronique.lebris@biomedecine.fr" TargetMode="External"/><Relationship Id="rId920" Type="http://schemas.openxmlformats.org/officeDocument/2006/relationships/hyperlink" Target="mailto:annie.benbaruch@institutimagine.org" TargetMode="External"/><Relationship Id="rId1203" Type="http://schemas.openxmlformats.org/officeDocument/2006/relationships/hyperlink" Target="mailto:clement.conil@institutimagine.org" TargetMode="External"/><Relationship Id="rId296" Type="http://schemas.openxmlformats.org/officeDocument/2006/relationships/hyperlink" Target="mailto:renaud.magnant@institutimagine.org" TargetMode="External"/><Relationship Id="rId156" Type="http://schemas.openxmlformats.org/officeDocument/2006/relationships/hyperlink" Target="mailto:juliette.lacronique-gugliermina@aphp.fr" TargetMode="External"/><Relationship Id="rId363" Type="http://schemas.openxmlformats.org/officeDocument/2006/relationships/hyperlink" Target="mailto:ines.rajbaoui@institutimagine.org" TargetMode="External"/><Relationship Id="rId570" Type="http://schemas.openxmlformats.org/officeDocument/2006/relationships/hyperlink" Target="mailto:annie.benbaruch@institutimagine.org" TargetMode="External"/><Relationship Id="rId223" Type="http://schemas.openxmlformats.org/officeDocument/2006/relationships/hyperlink" Target="mailto:marianne.barthomier@institutimagine.org" TargetMode="External"/><Relationship Id="rId430" Type="http://schemas.openxmlformats.org/officeDocument/2006/relationships/hyperlink" Target="mailto:mbm.cfde.nck@aphp.fr" TargetMode="External"/><Relationship Id="rId668" Type="http://schemas.openxmlformats.org/officeDocument/2006/relationships/hyperlink" Target="mailto:lilia.ben-slama@aphp.fr" TargetMode="External"/><Relationship Id="rId875" Type="http://schemas.openxmlformats.org/officeDocument/2006/relationships/hyperlink" Target="mailto:emilie.panafieu@inserm.fr" TargetMode="External"/><Relationship Id="rId1060" Type="http://schemas.openxmlformats.org/officeDocument/2006/relationships/hyperlink" Target="mailto:annie.benbaruch@institutimagine.org" TargetMode="External"/><Relationship Id="rId18" Type="http://schemas.openxmlformats.org/officeDocument/2006/relationships/hyperlink" Target="mailto:wassa.kanoute@aphp.fr" TargetMode="External"/><Relationship Id="rId528" Type="http://schemas.openxmlformats.org/officeDocument/2006/relationships/hyperlink" Target="mailto:annie.benbaruch@institutimagine.org" TargetMode="External"/><Relationship Id="rId735" Type="http://schemas.openxmlformats.org/officeDocument/2006/relationships/hyperlink" Target="mailto:koskas.priscillia@sysmex.fr" TargetMode="External"/><Relationship Id="rId942" Type="http://schemas.openxmlformats.org/officeDocument/2006/relationships/hyperlink" Target="mailto:ambroise.leleve@institutimagine.org" TargetMode="External"/><Relationship Id="rId1158" Type="http://schemas.openxmlformats.org/officeDocument/2006/relationships/hyperlink" Target="mailto:anne-florence.collange@inserm.fr" TargetMode="External"/><Relationship Id="rId167" Type="http://schemas.openxmlformats.org/officeDocument/2006/relationships/hyperlink" Target="mailto:maura.samarani@institutimagine.org" TargetMode="External"/><Relationship Id="rId374" Type="http://schemas.openxmlformats.org/officeDocument/2006/relationships/hyperlink" Target="mailto:laurence.legeai-mallet@inserm.fr" TargetMode="External"/><Relationship Id="rId581" Type="http://schemas.openxmlformats.org/officeDocument/2006/relationships/hyperlink" Target="mailto:louise.cheneau@institutimagine.org" TargetMode="External"/><Relationship Id="rId1018" Type="http://schemas.openxmlformats.org/officeDocument/2006/relationships/hyperlink" Target="mailto:maura.samarani@institutimagine.org" TargetMode="External"/><Relationship Id="rId71" Type="http://schemas.openxmlformats.org/officeDocument/2006/relationships/hyperlink" Target="mailto:olivier.brissaud@chu-bordeaux.fr" TargetMode="External"/><Relationship Id="rId234" Type="http://schemas.openxmlformats.org/officeDocument/2006/relationships/hyperlink" Target="mailto:thibaut.perchet@institutimagine.org" TargetMode="External"/><Relationship Id="rId679" Type="http://schemas.openxmlformats.org/officeDocument/2006/relationships/hyperlink" Target="mailto:kitsada.kang.sc@gmail.com" TargetMode="External"/><Relationship Id="rId802" Type="http://schemas.openxmlformats.org/officeDocument/2006/relationships/hyperlink" Target="mailto:pierre-hassim.malbec@institutimagine.org" TargetMode="External"/><Relationship Id="rId886" Type="http://schemas.openxmlformats.org/officeDocument/2006/relationships/hyperlink" Target="mailto:adrien.schvartz@institutimagine.org" TargetMode="External"/><Relationship Id="rId2" Type="http://schemas.openxmlformats.org/officeDocument/2006/relationships/hyperlink" Target="mailto:stanislas.lyonnet@institutimagine.org" TargetMode="External"/><Relationship Id="rId29" Type="http://schemas.openxmlformats.org/officeDocument/2006/relationships/hyperlink" Target="mailto:genevieve.baujat@aphp.fr" TargetMode="External"/><Relationship Id="rId441" Type="http://schemas.openxmlformats.org/officeDocument/2006/relationships/hyperlink" Target="mailto:manuel.schiff@aphp.fr" TargetMode="External"/><Relationship Id="rId539" Type="http://schemas.openxmlformats.org/officeDocument/2006/relationships/hyperlink" Target="mailto:sabrina.el-yazidi@institutimagine.org" TargetMode="External"/><Relationship Id="rId746" Type="http://schemas.openxmlformats.org/officeDocument/2006/relationships/hyperlink" Target="mailto:benedicte.alliot@aoi.asso.fr" TargetMode="External"/><Relationship Id="rId1071" Type="http://schemas.openxmlformats.org/officeDocument/2006/relationships/hyperlink" Target="mailto:leila.guenineche@institutimagine.org" TargetMode="External"/><Relationship Id="rId1169" Type="http://schemas.openxmlformats.org/officeDocument/2006/relationships/hyperlink" Target="mailto:assoyrii@gmail.com" TargetMode="External"/><Relationship Id="rId178" Type="http://schemas.openxmlformats.org/officeDocument/2006/relationships/hyperlink" Target="mailto:anne-maud.fablet@institutimagine.org" TargetMode="External"/><Relationship Id="rId301" Type="http://schemas.openxmlformats.org/officeDocument/2006/relationships/hyperlink" Target="mailto:marie.de-bazelaire@institutimagine.org" TargetMode="External"/><Relationship Id="rId953" Type="http://schemas.openxmlformats.org/officeDocument/2006/relationships/hyperlink" Target="mailto:gabriel.morin@institutimagine.org" TargetMode="External"/><Relationship Id="rId1029" Type="http://schemas.openxmlformats.org/officeDocument/2006/relationships/hyperlink" Target="mailto:marie.guillou@fondation-r-touraine.org" TargetMode="External"/><Relationship Id="rId82" Type="http://schemas.openxmlformats.org/officeDocument/2006/relationships/hyperlink" Target="mailto:genevieve.baujat@aphp.fr" TargetMode="External"/><Relationship Id="rId385" Type="http://schemas.openxmlformats.org/officeDocument/2006/relationships/hyperlink" Target="mailto:marie.de-bazelaire@institutimagine.org" TargetMode="External"/><Relationship Id="rId592" Type="http://schemas.openxmlformats.org/officeDocument/2006/relationships/hyperlink" Target="mailto:pauline.seiter@institutimagine.org" TargetMode="External"/><Relationship Id="rId606" Type="http://schemas.openxmlformats.org/officeDocument/2006/relationships/hyperlink" Target="mailto:pauline.canevet@institutimagine.org" TargetMode="External"/><Relationship Id="rId813" Type="http://schemas.openxmlformats.org/officeDocument/2006/relationships/hyperlink" Target="mailto:laurence.legeai-mallet@inserm.fr" TargetMode="External"/><Relationship Id="rId245" Type="http://schemas.openxmlformats.org/officeDocument/2006/relationships/hyperlink" Target="mailto:nouara.lhocine@institutimagine.org" TargetMode="External"/><Relationship Id="rId452" Type="http://schemas.openxmlformats.org/officeDocument/2006/relationships/hyperlink" Target="mailto:pierre.quartier@aphp.fr" TargetMode="External"/><Relationship Id="rId897" Type="http://schemas.openxmlformats.org/officeDocument/2006/relationships/hyperlink" Target="mailto:maura.samarani@institutimagine.org" TargetMode="External"/><Relationship Id="rId1082" Type="http://schemas.openxmlformats.org/officeDocument/2006/relationships/hyperlink" Target="mailto:marianne.barthomier@institutimagine.org" TargetMode="External"/><Relationship Id="rId105" Type="http://schemas.openxmlformats.org/officeDocument/2006/relationships/hyperlink" Target="mailto:gautier.cariou@institutimagine.org" TargetMode="External"/><Relationship Id="rId312" Type="http://schemas.openxmlformats.org/officeDocument/2006/relationships/hyperlink" Target="mailto:angelique.gaba@aphp.fr" TargetMode="External"/><Relationship Id="rId757" Type="http://schemas.openxmlformats.org/officeDocument/2006/relationships/hyperlink" Target="mailto:julia.pernet@institutimagine.org" TargetMode="External"/><Relationship Id="rId964" Type="http://schemas.openxmlformats.org/officeDocument/2006/relationships/hyperlink" Target="mailto:nathalie.borel@institutimagine.org" TargetMode="External"/><Relationship Id="rId93" Type="http://schemas.openxmlformats.org/officeDocument/2006/relationships/hyperlink" Target="mailto:pauline.seiter@institutimagine.org" TargetMode="External"/><Relationship Id="rId189" Type="http://schemas.openxmlformats.org/officeDocument/2006/relationships/hyperlink" Target="mailto:alice.darchen@institutimagine.org" TargetMode="External"/><Relationship Id="rId396" Type="http://schemas.openxmlformats.org/officeDocument/2006/relationships/hyperlink" Target="mailto:marie.de-bazelaire@institutimagine.org" TargetMode="External"/><Relationship Id="rId617" Type="http://schemas.openxmlformats.org/officeDocument/2006/relationships/hyperlink" Target="mailto:assoyrii@gmail.com" TargetMode="External"/><Relationship Id="rId824" Type="http://schemas.openxmlformats.org/officeDocument/2006/relationships/hyperlink" Target="mailto:marie.jeanpierre@institutimagine.org" TargetMode="External"/><Relationship Id="rId256" Type="http://schemas.openxmlformats.org/officeDocument/2006/relationships/hyperlink" Target="mailto:pauline.canevet@institutimagine.org" TargetMode="External"/><Relationship Id="rId463" Type="http://schemas.openxmlformats.org/officeDocument/2006/relationships/hyperlink" Target="mailto:pauline.canevet@institutimagine.org" TargetMode="External"/><Relationship Id="rId670" Type="http://schemas.openxmlformats.org/officeDocument/2006/relationships/hyperlink" Target="mailto:sabrina.el-yazidi@institutimagine.org" TargetMode="External"/><Relationship Id="rId1093" Type="http://schemas.openxmlformats.org/officeDocument/2006/relationships/hyperlink" Target="mailto:cyrielle.valet@institutimagine.org" TargetMode="External"/><Relationship Id="rId1107" Type="http://schemas.openxmlformats.org/officeDocument/2006/relationships/hyperlink" Target="mailto:yoahne.mateus@institutimagine.org" TargetMode="External"/><Relationship Id="rId116" Type="http://schemas.openxmlformats.org/officeDocument/2006/relationships/hyperlink" Target="mailto:corinne.gaffet@meetingevent.fr" TargetMode="External"/><Relationship Id="rId323" Type="http://schemas.openxmlformats.org/officeDocument/2006/relationships/hyperlink" Target="mailto:victor.bruyere@aphp.fr" TargetMode="External"/><Relationship Id="rId530" Type="http://schemas.openxmlformats.org/officeDocument/2006/relationships/hyperlink" Target="mailto:jordane.galera@institutimagine.org" TargetMode="External"/><Relationship Id="rId768" Type="http://schemas.openxmlformats.org/officeDocument/2006/relationships/hyperlink" Target="mailto:patrick.justin@institutimagine.org" TargetMode="External"/><Relationship Id="rId975" Type="http://schemas.openxmlformats.org/officeDocument/2006/relationships/hyperlink" Target="mailto:severine.delalande@institutimagine.org" TargetMode="External"/><Relationship Id="rId1160" Type="http://schemas.openxmlformats.org/officeDocument/2006/relationships/hyperlink" Target="mailto:charlotte.benhaim-durin@institutimagine.org" TargetMode="External"/><Relationship Id="rId20" Type="http://schemas.openxmlformats.org/officeDocument/2006/relationships/hyperlink" Target="mailto:jbc@doyoumeanblue.com" TargetMode="External"/><Relationship Id="rId628" Type="http://schemas.openxmlformats.org/officeDocument/2006/relationships/hyperlink" Target="mailto:maura.samarani@institutimagine.org" TargetMode="External"/><Relationship Id="rId835" Type="http://schemas.openxmlformats.org/officeDocument/2006/relationships/hyperlink" Target="mailto:anne.lenoir@institutimagine.org" TargetMode="External"/><Relationship Id="rId267" Type="http://schemas.openxmlformats.org/officeDocument/2006/relationships/hyperlink" Target="mailto:severine.delalande@institutimagine.org" TargetMode="External"/><Relationship Id="rId474" Type="http://schemas.openxmlformats.org/officeDocument/2006/relationships/hyperlink" Target="mailto:sigolene.meilhac@pasteur.fr" TargetMode="External"/><Relationship Id="rId1020" Type="http://schemas.openxmlformats.org/officeDocument/2006/relationships/hyperlink" Target="mailto:annie.benbaruch@institutimagine.org" TargetMode="External"/><Relationship Id="rId1118" Type="http://schemas.openxmlformats.org/officeDocument/2006/relationships/hyperlink" Target="mailto:assoyrii@institutimagine.org" TargetMode="External"/><Relationship Id="rId127" Type="http://schemas.openxmlformats.org/officeDocument/2006/relationships/hyperlink" Target="mailto:william.amoyal@vizgen.com" TargetMode="External"/><Relationship Id="rId681" Type="http://schemas.openxmlformats.org/officeDocument/2006/relationships/hyperlink" Target="mailto:corinne.de-chappedelaine@inserm.fr" TargetMode="External"/><Relationship Id="rId779" Type="http://schemas.openxmlformats.org/officeDocument/2006/relationships/hyperlink" Target="mailto:bioentrepreneurs@institutimagine.org" TargetMode="External"/><Relationship Id="rId902" Type="http://schemas.openxmlformats.org/officeDocument/2006/relationships/hyperlink" Target="mailto:afcollange@gmail.com" TargetMode="External"/><Relationship Id="rId986" Type="http://schemas.openxmlformats.org/officeDocument/2006/relationships/hyperlink" Target="mailto:celine.kostianovsky@institutimagine.org" TargetMode="External"/><Relationship Id="rId31" Type="http://schemas.openxmlformats.org/officeDocument/2006/relationships/hyperlink" Target="mailto:stephanie.remola@inserm-transfert.fr" TargetMode="External"/><Relationship Id="rId334" Type="http://schemas.openxmlformats.org/officeDocument/2006/relationships/hyperlink" Target="mailto:annie.benbaruch@institutimagine.org" TargetMode="External"/><Relationship Id="rId541" Type="http://schemas.openxmlformats.org/officeDocument/2006/relationships/hyperlink" Target="mailto:anne.lenoir@institutimagine.org" TargetMode="External"/><Relationship Id="rId639" Type="http://schemas.openxmlformats.org/officeDocument/2006/relationships/hyperlink" Target="mailto:sonia.pose@aphp.fr" TargetMode="External"/><Relationship Id="rId1171" Type="http://schemas.openxmlformats.org/officeDocument/2006/relationships/hyperlink" Target="mailto:leila.guenineche@institutimagine.org" TargetMode="External"/><Relationship Id="rId180" Type="http://schemas.openxmlformats.org/officeDocument/2006/relationships/hyperlink" Target="mailto:marie.de-bazelaire@institutimagine.org" TargetMode="External"/><Relationship Id="rId278" Type="http://schemas.openxmlformats.org/officeDocument/2006/relationships/hyperlink" Target="mailto:su-jin.paik@institutimagine.org" TargetMode="External"/><Relationship Id="rId401" Type="http://schemas.openxmlformats.org/officeDocument/2006/relationships/hyperlink" Target="mailto:marie.de-bazelaire@institutimagine.org" TargetMode="External"/><Relationship Id="rId846" Type="http://schemas.openxmlformats.org/officeDocument/2006/relationships/hyperlink" Target="mailto:anne.lenoir@institutimagine.org" TargetMode="External"/><Relationship Id="rId1031" Type="http://schemas.openxmlformats.org/officeDocument/2006/relationships/hyperlink" Target="mailto:cyrielle.valet@institutimagine.org" TargetMode="External"/><Relationship Id="rId1129" Type="http://schemas.openxmlformats.org/officeDocument/2006/relationships/hyperlink" Target="mailto:benoit.heid@inserm.fr" TargetMode="External"/><Relationship Id="rId485" Type="http://schemas.openxmlformats.org/officeDocument/2006/relationships/hyperlink" Target="mailto:annie.benbaruch@institutimagine.org" TargetMode="External"/><Relationship Id="rId692" Type="http://schemas.openxmlformats.org/officeDocument/2006/relationships/hyperlink" Target="mailto:melissa.cassard@institutimagine.org" TargetMode="External"/><Relationship Id="rId706" Type="http://schemas.openxmlformats.org/officeDocument/2006/relationships/hyperlink" Target="mailto:afcollange@gmail.com" TargetMode="External"/><Relationship Id="rId913" Type="http://schemas.openxmlformats.org/officeDocument/2006/relationships/hyperlink" Target="mailto:pauline.canevet@institutimagine.org" TargetMode="External"/><Relationship Id="rId42" Type="http://schemas.openxmlformats.org/officeDocument/2006/relationships/hyperlink" Target="mailto:caroline.iberg@chru-strasbourg.fr%3E" TargetMode="External"/><Relationship Id="rId138" Type="http://schemas.openxmlformats.org/officeDocument/2006/relationships/hyperlink" Target="mailto:genevieve.baujat@aphp.fr" TargetMode="External"/><Relationship Id="rId345" Type="http://schemas.openxmlformats.org/officeDocument/2006/relationships/hyperlink" Target="mailto:maura.samarani@institutimagine.org" TargetMode="External"/><Relationship Id="rId552" Type="http://schemas.openxmlformats.org/officeDocument/2006/relationships/hyperlink" Target="mailto:patrick.justin@institutimagine.org" TargetMode="External"/><Relationship Id="rId997" Type="http://schemas.openxmlformats.org/officeDocument/2006/relationships/hyperlink" Target="mailto:charlotte.benhaim-durin@institutimagine.org" TargetMode="External"/><Relationship Id="rId1182" Type="http://schemas.openxmlformats.org/officeDocument/2006/relationships/hyperlink" Target="mailto:leila.guenineche@institutimagine.org" TargetMode="External"/><Relationship Id="rId191" Type="http://schemas.openxmlformats.org/officeDocument/2006/relationships/hyperlink" Target="mailto:malika.tiouri@inserm.fr" TargetMode="External"/><Relationship Id="rId205" Type="http://schemas.openxmlformats.org/officeDocument/2006/relationships/hyperlink" Target="mailto:maura.samarani@institutimagine.org" TargetMode="External"/><Relationship Id="rId412" Type="http://schemas.openxmlformats.org/officeDocument/2006/relationships/hyperlink" Target="mailto:angelique.gaba@aphp.fr" TargetMode="External"/><Relationship Id="rId857" Type="http://schemas.openxmlformats.org/officeDocument/2006/relationships/hyperlink" Target="mailto:melania.cruciani@institutimagine.org" TargetMode="External"/><Relationship Id="rId1042" Type="http://schemas.openxmlformats.org/officeDocument/2006/relationships/hyperlink" Target="mailto:alice.valagussa@institutimagine.org" TargetMode="External"/><Relationship Id="rId289" Type="http://schemas.openxmlformats.org/officeDocument/2006/relationships/hyperlink" Target="mailto:anne.lenoir@institutimagine.org" TargetMode="External"/><Relationship Id="rId496" Type="http://schemas.openxmlformats.org/officeDocument/2006/relationships/hyperlink" Target="mailto:annie.benbaruch@institutimagine.org" TargetMode="External"/><Relationship Id="rId717" Type="http://schemas.openxmlformats.org/officeDocument/2006/relationships/hyperlink" Target="mailto:abement@fightingblindness.org" TargetMode="External"/><Relationship Id="rId924" Type="http://schemas.openxmlformats.org/officeDocument/2006/relationships/hyperlink" Target="mailto:charlotte.benhaim-durin@institutimagine.org" TargetMode="External"/><Relationship Id="rId53" Type="http://schemas.openxmlformats.org/officeDocument/2006/relationships/hyperlink" Target="mailto:wassa.kanoute@aphp.fr" TargetMode="External"/><Relationship Id="rId149" Type="http://schemas.openxmlformats.org/officeDocument/2006/relationships/hyperlink" Target="mailto:ines.ben-aissa@aphp.fr" TargetMode="External"/><Relationship Id="rId356" Type="http://schemas.openxmlformats.org/officeDocument/2006/relationships/hyperlink" Target="mailto:maura.samarani@institutimagine.org" TargetMode="External"/><Relationship Id="rId563" Type="http://schemas.openxmlformats.org/officeDocument/2006/relationships/hyperlink" Target="mailto:marianne.barthomier@institutimagine.org" TargetMode="External"/><Relationship Id="rId770" Type="http://schemas.openxmlformats.org/officeDocument/2006/relationships/hyperlink" Target="mailto:contact@jbcneckerpasteur.fr" TargetMode="External"/><Relationship Id="rId1193" Type="http://schemas.openxmlformats.org/officeDocument/2006/relationships/hyperlink" Target="mailto:nadia.harrani@aphp.fr" TargetMode="External"/><Relationship Id="rId1207" Type="http://schemas.openxmlformats.org/officeDocument/2006/relationships/hyperlink" Target="mailto:lea.dussauge@institutimagine.org" TargetMode="External"/><Relationship Id="rId216" Type="http://schemas.openxmlformats.org/officeDocument/2006/relationships/hyperlink" Target="mailto:lilia.ben-slama@aphp.fr" TargetMode="External"/><Relationship Id="rId423" Type="http://schemas.openxmlformats.org/officeDocument/2006/relationships/hyperlink" Target="mailto:boris.bessot@institutimagine.org" TargetMode="External"/><Relationship Id="rId868" Type="http://schemas.openxmlformats.org/officeDocument/2006/relationships/hyperlink" Target="mailto:annie.benbaruch@institutimagine.org" TargetMode="External"/><Relationship Id="rId1053" Type="http://schemas.openxmlformats.org/officeDocument/2006/relationships/hyperlink" Target="mailto:ambroise.leleve@institutimagine.org" TargetMode="External"/><Relationship Id="rId630" Type="http://schemas.openxmlformats.org/officeDocument/2006/relationships/hyperlink" Target="mailto:anne.lenoir@institutimagine.org" TargetMode="External"/><Relationship Id="rId728" Type="http://schemas.openxmlformats.org/officeDocument/2006/relationships/hyperlink" Target="mailto:carole.chehowah@gmail.com" TargetMode="External"/><Relationship Id="rId935" Type="http://schemas.openxmlformats.org/officeDocument/2006/relationships/hyperlink" Target="mailto:sara.bizzotto@inserm.fr" TargetMode="External"/><Relationship Id="rId64" Type="http://schemas.openxmlformats.org/officeDocument/2006/relationships/hyperlink" Target="mailto:wassa.kanoute@aphp.fr" TargetMode="External"/><Relationship Id="rId367" Type="http://schemas.openxmlformats.org/officeDocument/2006/relationships/hyperlink" Target="mailto:julia.pernet@institutimagine.org" TargetMode="External"/><Relationship Id="rId574" Type="http://schemas.openxmlformats.org/officeDocument/2006/relationships/hyperlink" Target="mailto:laurence.legeai-mallet@inserm.fr" TargetMode="External"/><Relationship Id="rId1120" Type="http://schemas.openxmlformats.org/officeDocument/2006/relationships/hyperlink" Target="mailto:annie.benbaruch@institutimagine.org" TargetMode="External"/><Relationship Id="rId227" Type="http://schemas.openxmlformats.org/officeDocument/2006/relationships/hyperlink" Target="mailto:lilia.ben-slama@aphp.fr" TargetMode="External"/><Relationship Id="rId781" Type="http://schemas.openxmlformats.org/officeDocument/2006/relationships/hyperlink" Target="mailto:bioentrepreneurs@institutimagine.org" TargetMode="External"/><Relationship Id="rId879" Type="http://schemas.openxmlformats.org/officeDocument/2006/relationships/hyperlink" Target="mailto:edor.kabashi@institutimagine.org" TargetMode="External"/><Relationship Id="rId434" Type="http://schemas.openxmlformats.org/officeDocument/2006/relationships/hyperlink" Target="mailto:jennifer.sannegond@institutimagine.org" TargetMode="External"/><Relationship Id="rId641" Type="http://schemas.openxmlformats.org/officeDocument/2006/relationships/hyperlink" Target="mailto:jennifer.sannegond@institutimagine.org" TargetMode="External"/><Relationship Id="rId739" Type="http://schemas.openxmlformats.org/officeDocument/2006/relationships/hyperlink" Target="mailto:olompas@vaincrelamuco.org" TargetMode="External"/><Relationship Id="rId1064" Type="http://schemas.openxmlformats.org/officeDocument/2006/relationships/hyperlink" Target="mailto:leila.guenineche@institutimagine.org" TargetMode="External"/><Relationship Id="rId280" Type="http://schemas.openxmlformats.org/officeDocument/2006/relationships/hyperlink" Target="mailto:nathalie.lefort@institutimagine.org" TargetMode="External"/><Relationship Id="rId501" Type="http://schemas.openxmlformats.org/officeDocument/2006/relationships/hyperlink" Target="mailto:fanny.schiappapietre@institutimagine.org" TargetMode="External"/><Relationship Id="rId946" Type="http://schemas.openxmlformats.org/officeDocument/2006/relationships/hyperlink" Target="mailto:marianne.barthomier@institutimagine.org" TargetMode="External"/><Relationship Id="rId1131" Type="http://schemas.openxmlformats.org/officeDocument/2006/relationships/hyperlink" Target="mailto:charlotte.benhaim-durin@institutimagine.org" TargetMode="External"/><Relationship Id="rId75" Type="http://schemas.openxmlformats.org/officeDocument/2006/relationships/hyperlink" Target="mailto:julien.husson@institutimagine.org" TargetMode="External"/><Relationship Id="rId140" Type="http://schemas.openxmlformats.org/officeDocument/2006/relationships/hyperlink" Target="mailto:David.Lavergne@chu-limoges.fr" TargetMode="External"/><Relationship Id="rId378" Type="http://schemas.openxmlformats.org/officeDocument/2006/relationships/hyperlink" Target="mailto:assoyrii@gmail.com" TargetMode="External"/><Relationship Id="rId585" Type="http://schemas.openxmlformats.org/officeDocument/2006/relationships/hyperlink" Target="mailto:maura.samarani@institutimagine.org" TargetMode="External"/><Relationship Id="rId792" Type="http://schemas.openxmlformats.org/officeDocument/2006/relationships/hyperlink" Target="mailto:charlotte.benhaim-durin@institutimagine.org" TargetMode="External"/><Relationship Id="rId806" Type="http://schemas.openxmlformats.org/officeDocument/2006/relationships/hyperlink" Target="mailto:laetitia.le-falher@inserm.fr" TargetMode="External"/><Relationship Id="rId6" Type="http://schemas.openxmlformats.org/officeDocument/2006/relationships/hyperlink" Target="mailto:olompas@vaincrelamuco.org" TargetMode="External"/><Relationship Id="rId238" Type="http://schemas.openxmlformats.org/officeDocument/2006/relationships/hyperlink" Target="mailto:marianne.barthomier@institutimagine.org" TargetMode="External"/><Relationship Id="rId445" Type="http://schemas.openxmlformats.org/officeDocument/2006/relationships/hyperlink" Target="mailto:koskas.priscillia@sysmex.fr" TargetMode="External"/><Relationship Id="rId652" Type="http://schemas.openxmlformats.org/officeDocument/2006/relationships/hyperlink" Target="mailto:maxime.heintze@institutimagine.org" TargetMode="External"/><Relationship Id="rId1075" Type="http://schemas.openxmlformats.org/officeDocument/2006/relationships/hyperlink" Target="mailto:barbara.alfandari@institutimagine.org" TargetMode="External"/><Relationship Id="rId291" Type="http://schemas.openxmlformats.org/officeDocument/2006/relationships/hyperlink" Target="mailto:assoyrii@gmail.com" TargetMode="External"/><Relationship Id="rId305" Type="http://schemas.openxmlformats.org/officeDocument/2006/relationships/hyperlink" Target="mailto:anne.lenoir@institutimagine.org" TargetMode="External"/><Relationship Id="rId512" Type="http://schemas.openxmlformats.org/officeDocument/2006/relationships/hyperlink" Target="mailto:morgane.cheminant@aphp.fr" TargetMode="External"/><Relationship Id="rId957" Type="http://schemas.openxmlformats.org/officeDocument/2006/relationships/hyperlink" Target="mailto:aude.magerus@inserm.fr" TargetMode="External"/><Relationship Id="rId1142" Type="http://schemas.openxmlformats.org/officeDocument/2006/relationships/hyperlink" Target="mailto:yoahne.mateus@institutimagine.org" TargetMode="External"/><Relationship Id="rId86" Type="http://schemas.openxmlformats.org/officeDocument/2006/relationships/hyperlink" Target="mailto:f.berruer@arsla.org" TargetMode="External"/><Relationship Id="rId151" Type="http://schemas.openxmlformats.org/officeDocument/2006/relationships/hyperlink" Target="mailto:genevieve.baujat@aphp.fr" TargetMode="External"/><Relationship Id="rId389" Type="http://schemas.openxmlformats.org/officeDocument/2006/relationships/hyperlink" Target="mailto:laurence.legeai-mallet@inserm.fr" TargetMode="External"/><Relationship Id="rId596" Type="http://schemas.openxmlformats.org/officeDocument/2006/relationships/hyperlink" Target="mailto:annie.benbaruch@institutimagine.org" TargetMode="External"/><Relationship Id="rId817" Type="http://schemas.openxmlformats.org/officeDocument/2006/relationships/hyperlink" Target="mailto:annie.benbaruch@institutimagine.org" TargetMode="External"/><Relationship Id="rId1002" Type="http://schemas.openxmlformats.org/officeDocument/2006/relationships/hyperlink" Target="mailto:nicolas.garcelon@institutimagine.org" TargetMode="External"/><Relationship Id="rId249" Type="http://schemas.openxmlformats.org/officeDocument/2006/relationships/hyperlink" Target="mailto:julia.pernet@institutimagine.org" TargetMode="External"/><Relationship Id="rId456" Type="http://schemas.openxmlformats.org/officeDocument/2006/relationships/hyperlink" Target="mailto:maura.samarani@institutimagine.org" TargetMode="External"/><Relationship Id="rId663" Type="http://schemas.openxmlformats.org/officeDocument/2006/relationships/hyperlink" Target="mailto:nadia.angers-diebold@interieur.gouv.fr" TargetMode="External"/><Relationship Id="rId870" Type="http://schemas.openxmlformats.org/officeDocument/2006/relationships/hyperlink" Target="mailto:cyrielle.valet@institutimagine.org" TargetMode="External"/><Relationship Id="rId1086" Type="http://schemas.openxmlformats.org/officeDocument/2006/relationships/hyperlink" Target="mailto:eric.lemaur@institutimagine.org" TargetMode="External"/><Relationship Id="rId13" Type="http://schemas.openxmlformats.org/officeDocument/2006/relationships/hyperlink" Target="mailto:wassa.kanoute@aphp.fr" TargetMode="External"/><Relationship Id="rId109" Type="http://schemas.openxmlformats.org/officeDocument/2006/relationships/hyperlink" Target="mailto:isabelle.descamps@aphp.fr" TargetMode="External"/><Relationship Id="rId316" Type="http://schemas.openxmlformats.org/officeDocument/2006/relationships/hyperlink" Target="mailto:wilfried.loewen@institutimagine.org" TargetMode="External"/><Relationship Id="rId523" Type="http://schemas.openxmlformats.org/officeDocument/2006/relationships/hyperlink" Target="mailto:nathalie.boddaert@aphp.fr" TargetMode="External"/><Relationship Id="rId968" Type="http://schemas.openxmlformats.org/officeDocument/2006/relationships/hyperlink" Target="mailto:annie.benbaruch@institutimagine.org" TargetMode="External"/><Relationship Id="rId1153" Type="http://schemas.openxmlformats.org/officeDocument/2006/relationships/hyperlink" Target="mailto:laurence.legeai-mallet@inserm.fr" TargetMode="External"/><Relationship Id="rId97" Type="http://schemas.openxmlformats.org/officeDocument/2006/relationships/hyperlink" Target="mailto:pauline.seiter@institutimagine.org" TargetMode="External"/><Relationship Id="rId730" Type="http://schemas.openxmlformats.org/officeDocument/2006/relationships/hyperlink" Target="mailto:anais.defreitas@aphp.fr" TargetMode="External"/><Relationship Id="rId828" Type="http://schemas.openxmlformats.org/officeDocument/2006/relationships/hyperlink" Target="mailto:assoyrii@institutimagine.org" TargetMode="External"/><Relationship Id="rId1013" Type="http://schemas.openxmlformats.org/officeDocument/2006/relationships/hyperlink" Target="mailto:lea.dussauge@institutimagine.org" TargetMode="External"/><Relationship Id="rId162" Type="http://schemas.openxmlformats.org/officeDocument/2006/relationships/hyperlink" Target="mailto:marie.de-bazelaire@institutimagine.org" TargetMode="External"/><Relationship Id="rId467" Type="http://schemas.openxmlformats.org/officeDocument/2006/relationships/hyperlink" Target="mailto:pauline.canevet@institutimagine.org" TargetMode="External"/><Relationship Id="rId1097" Type="http://schemas.openxmlformats.org/officeDocument/2006/relationships/hyperlink" Target="mailto:cyrielle.valet@institutimagine.org" TargetMode="External"/><Relationship Id="rId674" Type="http://schemas.openxmlformats.org/officeDocument/2006/relationships/hyperlink" Target="mailto:annie.benbaruch@institutimagine.org" TargetMode="External"/><Relationship Id="rId881" Type="http://schemas.openxmlformats.org/officeDocument/2006/relationships/hyperlink" Target="mailto:charlotte.benhaim-durin@institutimagine.org" TargetMode="External"/><Relationship Id="rId979" Type="http://schemas.openxmlformats.org/officeDocument/2006/relationships/hyperlink" Target="mailto:rachel.pereur@institutimagine.org" TargetMode="External"/><Relationship Id="rId24" Type="http://schemas.openxmlformats.org/officeDocument/2006/relationships/hyperlink" Target="mailto:genevieve.baujat@aphp.fr" TargetMode="External"/><Relationship Id="rId327" Type="http://schemas.openxmlformats.org/officeDocument/2006/relationships/hyperlink" Target="mailto:marianne.barthomier@institutimagine.org" TargetMode="External"/><Relationship Id="rId534" Type="http://schemas.openxmlformats.org/officeDocument/2006/relationships/hyperlink" Target="mailto:annie.benbaruch@institutimagine.org" TargetMode="External"/><Relationship Id="rId741" Type="http://schemas.openxmlformats.org/officeDocument/2006/relationships/hyperlink" Target="mailto:jeanferaud59@yahoo." TargetMode="External"/><Relationship Id="rId839" Type="http://schemas.openxmlformats.org/officeDocument/2006/relationships/hyperlink" Target="mailto:annie.benbaruch@institutimagine.org" TargetMode="External"/><Relationship Id="rId1164" Type="http://schemas.openxmlformats.org/officeDocument/2006/relationships/hyperlink" Target="mailto:leila.guenineche@institutimagine.org" TargetMode="External"/><Relationship Id="rId173" Type="http://schemas.openxmlformats.org/officeDocument/2006/relationships/hyperlink" Target="mailto:nouara.lhocine@institutimagine.org" TargetMode="External"/><Relationship Id="rId380" Type="http://schemas.openxmlformats.org/officeDocument/2006/relationships/hyperlink" Target="mailto:annie.benbaruch@institutimagine.org" TargetMode="External"/><Relationship Id="rId601" Type="http://schemas.openxmlformats.org/officeDocument/2006/relationships/hyperlink" Target="mailto:charlotte.claris@axa.fr" TargetMode="External"/><Relationship Id="rId1024" Type="http://schemas.openxmlformats.org/officeDocument/2006/relationships/hyperlink" Target="mailto:leila.guenineche@institutimagine.org" TargetMode="External"/><Relationship Id="rId240" Type="http://schemas.openxmlformats.org/officeDocument/2006/relationships/hyperlink" Target="mailto:laurence.legeai-mallet@inserm.fr" TargetMode="External"/><Relationship Id="rId478" Type="http://schemas.openxmlformats.org/officeDocument/2006/relationships/hyperlink" Target="mailto:rosalie.borry@institutimagine.org" TargetMode="External"/><Relationship Id="rId685" Type="http://schemas.openxmlformats.org/officeDocument/2006/relationships/hyperlink" Target="mailto:nicolas.guegan@inserm.fr" TargetMode="External"/><Relationship Id="rId892" Type="http://schemas.openxmlformats.org/officeDocument/2006/relationships/hyperlink" Target="mailto:charlotte.benhaim-durin@institutimagine.org" TargetMode="External"/><Relationship Id="rId906" Type="http://schemas.openxmlformats.org/officeDocument/2006/relationships/hyperlink" Target="mailto:annie.benbaruch@institutimagine.org" TargetMode="External"/><Relationship Id="rId35" Type="http://schemas.openxmlformats.org/officeDocument/2006/relationships/hyperlink" Target="mailto:michaela.corrias@aphp.fr" TargetMode="External"/><Relationship Id="rId100" Type="http://schemas.openxmlformats.org/officeDocument/2006/relationships/hyperlink" Target="mailto:maura.samarani@institutimagine.org" TargetMode="External"/><Relationship Id="rId338" Type="http://schemas.openxmlformats.org/officeDocument/2006/relationships/hyperlink" Target="mailto:slimane.allali@aphp.fr" TargetMode="External"/><Relationship Id="rId545" Type="http://schemas.openxmlformats.org/officeDocument/2006/relationships/hyperlink" Target="mailto:rifat@hec.fr" TargetMode="External"/><Relationship Id="rId752" Type="http://schemas.openxmlformats.org/officeDocument/2006/relationships/hyperlink" Target="mailto:alexandra.goncalvesnevespolard@aphp.fr" TargetMode="External"/><Relationship Id="rId1175" Type="http://schemas.openxmlformats.org/officeDocument/2006/relationships/hyperlink" Target="mailto:maura.samarani@institutimagine.org" TargetMode="External"/><Relationship Id="rId184" Type="http://schemas.openxmlformats.org/officeDocument/2006/relationships/hyperlink" Target="mailto:anne.viseur@institutimagine.org" TargetMode="External"/><Relationship Id="rId391" Type="http://schemas.openxmlformats.org/officeDocument/2006/relationships/hyperlink" Target="mailto:gabriel.morin@institutimagine.org" TargetMode="External"/><Relationship Id="rId405" Type="http://schemas.openxmlformats.org/officeDocument/2006/relationships/hyperlink" Target="mailto:marie.de-bazelaire@institutimagine.org" TargetMode="External"/><Relationship Id="rId612" Type="http://schemas.openxmlformats.org/officeDocument/2006/relationships/hyperlink" Target="mailto:saskia.oro@aphp.fr" TargetMode="External"/><Relationship Id="rId1035" Type="http://schemas.openxmlformats.org/officeDocument/2006/relationships/hyperlink" Target="mailto:christelle.julien@aphp.fr" TargetMode="External"/><Relationship Id="rId251" Type="http://schemas.openxmlformats.org/officeDocument/2006/relationships/hyperlink" Target="mailto:hello@marionmarinpresse.fr" TargetMode="External"/><Relationship Id="rId489" Type="http://schemas.openxmlformats.org/officeDocument/2006/relationships/hyperlink" Target="mailto:yasmine.ainouz@institutimagine.org" TargetMode="External"/><Relationship Id="rId696" Type="http://schemas.openxmlformats.org/officeDocument/2006/relationships/hyperlink" Target="mailto:leila.guenineche@institutimagine.org" TargetMode="External"/><Relationship Id="rId917" Type="http://schemas.openxmlformats.org/officeDocument/2006/relationships/hyperlink" Target="mailto:ambroise.leleve@institutimagine.org" TargetMode="External"/><Relationship Id="rId1102" Type="http://schemas.openxmlformats.org/officeDocument/2006/relationships/hyperlink" Target="mailto:leila.guenineche@institutimagine.org" TargetMode="External"/><Relationship Id="rId46" Type="http://schemas.openxmlformats.org/officeDocument/2006/relationships/hyperlink" Target="mailto:contact@relations-medicales.com%3E" TargetMode="External"/><Relationship Id="rId349" Type="http://schemas.openxmlformats.org/officeDocument/2006/relationships/hyperlink" Target="mailto:marianne.barthomier@institutimagine.org" TargetMode="External"/><Relationship Id="rId556" Type="http://schemas.openxmlformats.org/officeDocument/2006/relationships/hyperlink" Target="mailto:marianne.barthomier@institutimagine.org" TargetMode="External"/><Relationship Id="rId763" Type="http://schemas.openxmlformats.org/officeDocument/2006/relationships/hyperlink" Target="mailto:maura.samarani@institutimagine.org" TargetMode="External"/><Relationship Id="rId1186" Type="http://schemas.openxmlformats.org/officeDocument/2006/relationships/hyperlink" Target="mailto:leila.guenineche@institutimagine.org" TargetMode="External"/><Relationship Id="rId111" Type="http://schemas.openxmlformats.org/officeDocument/2006/relationships/hyperlink" Target="mailto:laeticia.leclere@aphp.fr" TargetMode="External"/><Relationship Id="rId195" Type="http://schemas.openxmlformats.org/officeDocument/2006/relationships/hyperlink" Target="mailto:anne.lenoir@institutimagine.org" TargetMode="External"/><Relationship Id="rId209" Type="http://schemas.openxmlformats.org/officeDocument/2006/relationships/hyperlink" Target="mailto:blanca.rojo-guyon@institutimagine.org" TargetMode="External"/><Relationship Id="rId416" Type="http://schemas.openxmlformats.org/officeDocument/2006/relationships/hyperlink" Target="mailto:yanickcrow@mac.com" TargetMode="External"/><Relationship Id="rId970" Type="http://schemas.openxmlformats.org/officeDocument/2006/relationships/hyperlink" Target="mailto:alexandra.goncalvesnevespolard@aphp.fr" TargetMode="External"/><Relationship Id="rId1046" Type="http://schemas.openxmlformats.org/officeDocument/2006/relationships/hyperlink" Target="mailto:anne-florence.collange@inserm.fr" TargetMode="External"/><Relationship Id="rId623" Type="http://schemas.openxmlformats.org/officeDocument/2006/relationships/hyperlink" Target="mailto:marie.ayoub@aphp.fr" TargetMode="External"/><Relationship Id="rId830" Type="http://schemas.openxmlformats.org/officeDocument/2006/relationships/hyperlink" Target="mailto:ambroise.leleve@institutimagine.org" TargetMode="External"/><Relationship Id="rId928" Type="http://schemas.openxmlformats.org/officeDocument/2006/relationships/hyperlink" Target="mailto:secretariah@anjh-congres.fr" TargetMode="External"/><Relationship Id="rId57" Type="http://schemas.openxmlformats.org/officeDocument/2006/relationships/hyperlink" Target="mailto:developpeur.gfhgnp@gmail.com" TargetMode="External"/><Relationship Id="rId262" Type="http://schemas.openxmlformats.org/officeDocument/2006/relationships/hyperlink" Target="mailto:brigitte.fauroux@aphp.fr" TargetMode="External"/><Relationship Id="rId567" Type="http://schemas.openxmlformats.org/officeDocument/2006/relationships/hyperlink" Target="mailto:ulysse.olagne@institutimagine.org" TargetMode="External"/><Relationship Id="rId1113" Type="http://schemas.openxmlformats.org/officeDocument/2006/relationships/hyperlink" Target="mailto:ambroise.leleve@institutimagine.org" TargetMode="External"/><Relationship Id="rId1197" Type="http://schemas.openxmlformats.org/officeDocument/2006/relationships/hyperlink" Target="mailto:lea.dussauge@institutimagine.org" TargetMode="External"/><Relationship Id="rId122" Type="http://schemas.openxmlformats.org/officeDocument/2006/relationships/hyperlink" Target="mailto:pauline.seiter@institutimagine.org" TargetMode="External"/><Relationship Id="rId774" Type="http://schemas.openxmlformats.org/officeDocument/2006/relationships/hyperlink" Target="mailto:abigail.bejou@institutimagine.org" TargetMode="External"/><Relationship Id="rId981" Type="http://schemas.openxmlformats.org/officeDocument/2006/relationships/hyperlink" Target="mailto:julie.tahraoui@institutimagine.org" TargetMode="External"/><Relationship Id="rId1057" Type="http://schemas.openxmlformats.org/officeDocument/2006/relationships/hyperlink" Target="mailto:rosalie.borry@institutimagine.org" TargetMode="External"/><Relationship Id="rId427" Type="http://schemas.openxmlformats.org/officeDocument/2006/relationships/hyperlink" Target="mailto:marianne.barthomier@institutimagine.org" TargetMode="External"/><Relationship Id="rId634" Type="http://schemas.openxmlformats.org/officeDocument/2006/relationships/hyperlink" Target="mailto:cyrielle.valet@institutimagine.org" TargetMode="External"/><Relationship Id="rId841" Type="http://schemas.openxmlformats.org/officeDocument/2006/relationships/hyperlink" Target="mailto:ambroise.leleve@institutimagine.org" TargetMode="External"/><Relationship Id="rId273" Type="http://schemas.openxmlformats.org/officeDocument/2006/relationships/hyperlink" Target="mailto:marianne.barthomier@institutimagine.org" TargetMode="External"/><Relationship Id="rId480" Type="http://schemas.openxmlformats.org/officeDocument/2006/relationships/hyperlink" Target="mailto:pauline.canevet@institutimagine.org" TargetMode="External"/><Relationship Id="rId701" Type="http://schemas.openxmlformats.org/officeDocument/2006/relationships/hyperlink" Target="mailto:jeanferaud59@yahoo.fr" TargetMode="External"/><Relationship Id="rId939" Type="http://schemas.openxmlformats.org/officeDocument/2006/relationships/hyperlink" Target="mailto:paul.bastard@institutimagine.org" TargetMode="External"/><Relationship Id="rId1124" Type="http://schemas.openxmlformats.org/officeDocument/2006/relationships/hyperlink" Target="mailto:leila.guenineche@institutimagine.org" TargetMode="External"/><Relationship Id="rId68" Type="http://schemas.openxmlformats.org/officeDocument/2006/relationships/hyperlink" Target="mailto:genevieve.baujat@aphp.fr" TargetMode="External"/><Relationship Id="rId133" Type="http://schemas.openxmlformats.org/officeDocument/2006/relationships/hyperlink" Target="mailto:pauline.seiter@institutimagine.org" TargetMode="External"/><Relationship Id="rId340" Type="http://schemas.openxmlformats.org/officeDocument/2006/relationships/hyperlink" Target="mailto:laurence.legeai-mallet@inserm.fr" TargetMode="External"/><Relationship Id="rId578" Type="http://schemas.openxmlformats.org/officeDocument/2006/relationships/hyperlink" Target="mailto:jennifer.sannegond@institutimagine.org" TargetMode="External"/><Relationship Id="rId785" Type="http://schemas.openxmlformats.org/officeDocument/2006/relationships/hyperlink" Target="mailto:pauline.canevet@institutimagine.org" TargetMode="External"/><Relationship Id="rId992" Type="http://schemas.openxmlformats.org/officeDocument/2006/relationships/hyperlink" Target="mailto:dalila.louzi@institutimagine.org" TargetMode="External"/><Relationship Id="rId200" Type="http://schemas.openxmlformats.org/officeDocument/2006/relationships/hyperlink" Target="mailto:nicolas.garcelon@institutimagine.org" TargetMode="External"/><Relationship Id="rId438" Type="http://schemas.openxmlformats.org/officeDocument/2006/relationships/hyperlink" Target="mailto:lazaro.lorenzo-diaz@inserm.fr" TargetMode="External"/><Relationship Id="rId645" Type="http://schemas.openxmlformats.org/officeDocument/2006/relationships/hyperlink" Target="mailto:celia.cardoso@institutimagine.org" TargetMode="External"/><Relationship Id="rId852" Type="http://schemas.openxmlformats.org/officeDocument/2006/relationships/hyperlink" Target="mailto:bioentrepreneurs@institutimagine.org" TargetMode="External"/><Relationship Id="rId1068" Type="http://schemas.openxmlformats.org/officeDocument/2006/relationships/hyperlink" Target="mailto:ambroise.leleve@institutimagine.org" TargetMode="External"/><Relationship Id="rId284" Type="http://schemas.openxmlformats.org/officeDocument/2006/relationships/hyperlink" Target="mailto:alexandre.pierga@institutimagine.org" TargetMode="External"/><Relationship Id="rId491" Type="http://schemas.openxmlformats.org/officeDocument/2006/relationships/hyperlink" Target="mailto:sandra.colas@aphp.fr" TargetMode="External"/><Relationship Id="rId505" Type="http://schemas.openxmlformats.org/officeDocument/2006/relationships/hyperlink" Target="mailto:cecile.bureau@institutimagine.org" TargetMode="External"/><Relationship Id="rId712" Type="http://schemas.openxmlformats.org/officeDocument/2006/relationships/hyperlink" Target="mailto:franck.pignard@bnpparibas.com" TargetMode="External"/><Relationship Id="rId1135" Type="http://schemas.openxmlformats.org/officeDocument/2006/relationships/hyperlink" Target="mailto:charlotte.benhaim-durin@institutimagine.org" TargetMode="External"/><Relationship Id="rId79" Type="http://schemas.openxmlformats.org/officeDocument/2006/relationships/hyperlink" Target="mailto:julien.husson@institutimagine.org" TargetMode="External"/><Relationship Id="rId144" Type="http://schemas.openxmlformats.org/officeDocument/2006/relationships/hyperlink" Target="mailto:maura.samarani@institutimagine.org" TargetMode="External"/><Relationship Id="rId589" Type="http://schemas.openxmlformats.org/officeDocument/2006/relationships/hyperlink" Target="mailto:louise.cheneau@institutimagine.org" TargetMode="External"/><Relationship Id="rId796" Type="http://schemas.openxmlformats.org/officeDocument/2006/relationships/hyperlink" Target="mailto:cyrielle.valet@institutimagine.org" TargetMode="External"/><Relationship Id="rId1202" Type="http://schemas.openxmlformats.org/officeDocument/2006/relationships/hyperlink" Target="mailto:nadia.harrani@aphp.fr" TargetMode="External"/><Relationship Id="rId351" Type="http://schemas.openxmlformats.org/officeDocument/2006/relationships/hyperlink" Target="mailto:araksya.izmiryan@inserm.fr" TargetMode="External"/><Relationship Id="rId449" Type="http://schemas.openxmlformats.org/officeDocument/2006/relationships/hyperlink" Target="mailto:marianne.barthomier@institutimagine.org" TargetMode="External"/><Relationship Id="rId656" Type="http://schemas.openxmlformats.org/officeDocument/2006/relationships/hyperlink" Target="mailto:assoyrii@gmail.com" TargetMode="External"/><Relationship Id="rId863" Type="http://schemas.openxmlformats.org/officeDocument/2006/relationships/hyperlink" Target="mailto:fanny.bajolle@aphp.fr" TargetMode="External"/><Relationship Id="rId1079" Type="http://schemas.openxmlformats.org/officeDocument/2006/relationships/hyperlink" Target="mailto:helene.lepinay@dessinemoiunmouton.org" TargetMode="External"/><Relationship Id="rId211" Type="http://schemas.openxmlformats.org/officeDocument/2006/relationships/hyperlink" Target="mailto:maura.samarani@institutimagine.org" TargetMode="External"/><Relationship Id="rId295" Type="http://schemas.openxmlformats.org/officeDocument/2006/relationships/hyperlink" Target="mailto:pauline.seiter@institutimagine.org" TargetMode="External"/><Relationship Id="rId309" Type="http://schemas.openxmlformats.org/officeDocument/2006/relationships/hyperlink" Target="mailto:melania.cruciani@institutimagine.org" TargetMode="External"/><Relationship Id="rId516" Type="http://schemas.openxmlformats.org/officeDocument/2006/relationships/hyperlink" Target="mailto:nadine.voisenet@aphp.fr" TargetMode="External"/><Relationship Id="rId1146" Type="http://schemas.openxmlformats.org/officeDocument/2006/relationships/hyperlink" Target="mailto:sandrine.vilcot@institutimagine.org" TargetMode="External"/><Relationship Id="rId723" Type="http://schemas.openxmlformats.org/officeDocument/2006/relationships/hyperlink" Target="mailto:david.Lavergne@chu-limoges.fr" TargetMode="External"/><Relationship Id="rId930" Type="http://schemas.openxmlformats.org/officeDocument/2006/relationships/hyperlink" Target="mailto:chverny@chu-angers.fr" TargetMode="External"/><Relationship Id="rId1006" Type="http://schemas.openxmlformats.org/officeDocument/2006/relationships/hyperlink" Target="mailto:stanislas.lyonnet@institutimagine.org" TargetMode="External"/><Relationship Id="rId155" Type="http://schemas.openxmlformats.org/officeDocument/2006/relationships/hyperlink" Target="mailto:stephanie.massare@inserm.fr" TargetMode="External"/><Relationship Id="rId362" Type="http://schemas.openxmlformats.org/officeDocument/2006/relationships/hyperlink" Target="mailto:severine.delalande@institutimagine.org" TargetMode="External"/><Relationship Id="rId222" Type="http://schemas.openxmlformats.org/officeDocument/2006/relationships/hyperlink" Target="mailto:secretariat@rcafactory.com" TargetMode="External"/><Relationship Id="rId667" Type="http://schemas.openxmlformats.org/officeDocument/2006/relationships/hyperlink" Target="mailto:rosalie.borry@institutimagine.org" TargetMode="External"/><Relationship Id="rId874" Type="http://schemas.openxmlformats.org/officeDocument/2006/relationships/hyperlink" Target="mailto:jessica.kachmar@inserm.fr" TargetMode="External"/><Relationship Id="rId17" Type="http://schemas.openxmlformats.org/officeDocument/2006/relationships/hyperlink" Target="mailto:wassa.kanoute@aphp.fr" TargetMode="External"/><Relationship Id="rId527" Type="http://schemas.openxmlformats.org/officeDocument/2006/relationships/hyperlink" Target="mailto:priyanka.loganathan@institutimagine.org" TargetMode="External"/><Relationship Id="rId734" Type="http://schemas.openxmlformats.org/officeDocument/2006/relationships/hyperlink" Target="mailto:secretariat@rcafactory.com" TargetMode="External"/><Relationship Id="rId941" Type="http://schemas.openxmlformats.org/officeDocument/2006/relationships/hyperlink" Target="mailto:annie.benbaruch@institutimagine.org" TargetMode="External"/><Relationship Id="rId1157" Type="http://schemas.openxmlformats.org/officeDocument/2006/relationships/hyperlink" Target="mailto:paul.bastard@institutimagine.org" TargetMode="External"/><Relationship Id="rId70" Type="http://schemas.openxmlformats.org/officeDocument/2006/relationships/hyperlink" Target="mailto:aude.chaboissier@aphp.fr" TargetMode="External"/><Relationship Id="rId166" Type="http://schemas.openxmlformats.org/officeDocument/2006/relationships/hyperlink" Target="mailto:maura.samarani@institutimagine.org" TargetMode="External"/><Relationship Id="rId373" Type="http://schemas.openxmlformats.org/officeDocument/2006/relationships/hyperlink" Target="mailto:alexane.dufaye@institutimagine.org" TargetMode="External"/><Relationship Id="rId580" Type="http://schemas.openxmlformats.org/officeDocument/2006/relationships/hyperlink" Target="mailto:lea.dussauge@institutimagine.org" TargetMode="External"/><Relationship Id="rId801" Type="http://schemas.openxmlformats.org/officeDocument/2006/relationships/hyperlink" Target="mailto:cyrielle.valet@institutimagine.org" TargetMode="External"/><Relationship Id="rId1017" Type="http://schemas.openxmlformats.org/officeDocument/2006/relationships/hyperlink" Target="mailto:pauline.canevet@institutimagine.org" TargetMode="External"/><Relationship Id="rId1" Type="http://schemas.openxmlformats.org/officeDocument/2006/relationships/hyperlink" Target="mailto:elodie.dandelot@institutimagine.org" TargetMode="External"/><Relationship Id="rId233" Type="http://schemas.openxmlformats.org/officeDocument/2006/relationships/hyperlink" Target="mailto:michaela.semeraro@aphp.fr" TargetMode="External"/><Relationship Id="rId440" Type="http://schemas.openxmlformats.org/officeDocument/2006/relationships/hyperlink" Target="mailto:marie.de-bazelaire@institutimagine.org" TargetMode="External"/><Relationship Id="rId678" Type="http://schemas.openxmlformats.org/officeDocument/2006/relationships/hyperlink" Target="mailto:maud.charles@institutimagine.org" TargetMode="External"/><Relationship Id="rId885" Type="http://schemas.openxmlformats.org/officeDocument/2006/relationships/hyperlink" Target="mailto:veronique.abadie@aphp.fr" TargetMode="External"/><Relationship Id="rId1070" Type="http://schemas.openxmlformats.org/officeDocument/2006/relationships/hyperlink" Target="mailto:annie.benbaruch@institutimagine.org" TargetMode="External"/><Relationship Id="rId28" Type="http://schemas.openxmlformats.org/officeDocument/2006/relationships/hyperlink" Target="mailto:eloi.relange@ffechecs.fr" TargetMode="External"/><Relationship Id="rId300" Type="http://schemas.openxmlformats.org/officeDocument/2006/relationships/hyperlink" Target="mailto:maura.samarani@institutimagine.org" TargetMode="External"/><Relationship Id="rId538" Type="http://schemas.openxmlformats.org/officeDocument/2006/relationships/hyperlink" Target="mailto:leila.guenineche@institutimagine.org" TargetMode="External"/><Relationship Id="rId745" Type="http://schemas.openxmlformats.org/officeDocument/2006/relationships/hyperlink" Target="mailto:carole.chehowah@gmail.com" TargetMode="External"/><Relationship Id="rId952" Type="http://schemas.openxmlformats.org/officeDocument/2006/relationships/hyperlink" Target="mailto:julie.tahraoui@institutimagine.org" TargetMode="External"/><Relationship Id="rId1168" Type="http://schemas.openxmlformats.org/officeDocument/2006/relationships/hyperlink" Target="mailto:coralie.bloch-queyrat@aphp.fr" TargetMode="External"/><Relationship Id="rId81" Type="http://schemas.openxmlformats.org/officeDocument/2006/relationships/hyperlink" Target="mailto:thierry.devron@aphp.fr" TargetMode="External"/><Relationship Id="rId177" Type="http://schemas.openxmlformats.org/officeDocument/2006/relationships/hyperlink" Target="mailto:beatrice.langellier-bellevue@aphp.fr" TargetMode="External"/><Relationship Id="rId384" Type="http://schemas.openxmlformats.org/officeDocument/2006/relationships/hyperlink" Target="mailto:maura.samarani@institutimagine.org" TargetMode="External"/><Relationship Id="rId591" Type="http://schemas.openxmlformats.org/officeDocument/2006/relationships/hyperlink" Target="mailto:zuzanna.piwkowska@institutimagine.org" TargetMode="External"/><Relationship Id="rId605" Type="http://schemas.openxmlformats.org/officeDocument/2006/relationships/hyperlink" Target="mailto:thomas.courtin@aphp.fr" TargetMode="External"/><Relationship Id="rId812" Type="http://schemas.openxmlformats.org/officeDocument/2006/relationships/hyperlink" Target="mailto:aude.chaboissier@aphp.fr" TargetMode="External"/><Relationship Id="rId1028" Type="http://schemas.openxmlformats.org/officeDocument/2006/relationships/hyperlink" Target="mailto:ambroise.leleve@institutimagine.org" TargetMode="External"/><Relationship Id="rId244" Type="http://schemas.openxmlformats.org/officeDocument/2006/relationships/hyperlink" Target="mailto:genevieve.baujat@aphp.fr" TargetMode="External"/><Relationship Id="rId689" Type="http://schemas.openxmlformats.org/officeDocument/2006/relationships/hyperlink" Target="mailto:thibaut.perchet@institutimagine.org" TargetMode="External"/><Relationship Id="rId896" Type="http://schemas.openxmlformats.org/officeDocument/2006/relationships/hyperlink" Target="mailto:assoyrii@gmail.com" TargetMode="External"/><Relationship Id="rId1081" Type="http://schemas.openxmlformats.org/officeDocument/2006/relationships/hyperlink" Target="mailto:emmanuelle.jouanguy@inserm.fr" TargetMode="External"/><Relationship Id="rId39" Type="http://schemas.openxmlformats.org/officeDocument/2006/relationships/hyperlink" Target="mailto:stephanie.lefevre@ligue-cancer.net" TargetMode="External"/><Relationship Id="rId451" Type="http://schemas.openxmlformats.org/officeDocument/2006/relationships/hyperlink" Target="mailto:jean-michel.dupont@aphp.fr" TargetMode="External"/><Relationship Id="rId549" Type="http://schemas.openxmlformats.org/officeDocument/2006/relationships/hyperlink" Target="mailto:eric.lemaur@institutimagine.org" TargetMode="External"/><Relationship Id="rId756" Type="http://schemas.openxmlformats.org/officeDocument/2006/relationships/hyperlink" Target="mailto:pierre.quartier@aphp.fr" TargetMode="External"/><Relationship Id="rId1179" Type="http://schemas.openxmlformats.org/officeDocument/2006/relationships/hyperlink" Target="mailto:julie.tahraoui@institutimagine.org" TargetMode="External"/><Relationship Id="rId104" Type="http://schemas.openxmlformats.org/officeDocument/2006/relationships/hyperlink" Target="mailto:maura.samarani@institutimagine.org" TargetMode="External"/><Relationship Id="rId188" Type="http://schemas.openxmlformats.org/officeDocument/2006/relationships/hyperlink" Target="mailto:maura.samarani@institutimagine.org" TargetMode="External"/><Relationship Id="rId311" Type="http://schemas.openxmlformats.org/officeDocument/2006/relationships/hyperlink" Target="mailto:zuzanna.piwkowska@institutimagine.org" TargetMode="External"/><Relationship Id="rId395" Type="http://schemas.openxmlformats.org/officeDocument/2006/relationships/hyperlink" Target="mailto:gabriel.morin@institutimagine.org" TargetMode="External"/><Relationship Id="rId409" Type="http://schemas.openxmlformats.org/officeDocument/2006/relationships/hyperlink" Target="mailto:maura.samarani@institutimagine.org" TargetMode="External"/><Relationship Id="rId963" Type="http://schemas.openxmlformats.org/officeDocument/2006/relationships/hyperlink" Target="mailto:maura.samarani@institutimagine.org" TargetMode="External"/><Relationship Id="rId1039" Type="http://schemas.openxmlformats.org/officeDocument/2006/relationships/hyperlink" Target="mailto:annie.benbaruch@institutimagine.org" TargetMode="External"/><Relationship Id="rId92" Type="http://schemas.openxmlformats.org/officeDocument/2006/relationships/hyperlink" Target="mailto:pauline.seiter@institutimagine.org" TargetMode="External"/><Relationship Id="rId616" Type="http://schemas.openxmlformats.org/officeDocument/2006/relationships/hyperlink" Target="mailto:jennifer.sannegond@institutimagine.org" TargetMode="External"/><Relationship Id="rId823" Type="http://schemas.openxmlformats.org/officeDocument/2006/relationships/hyperlink" Target="mailto:maura.samarani@institutimagine.org" TargetMode="External"/><Relationship Id="rId255" Type="http://schemas.openxmlformats.org/officeDocument/2006/relationships/hyperlink" Target="mailto:pauline.canevet@institutimagine.org" TargetMode="External"/><Relationship Id="rId462" Type="http://schemas.openxmlformats.org/officeDocument/2006/relationships/hyperlink" Target="mailto:marie.de-bazelaire@institutimagine.org" TargetMode="External"/><Relationship Id="rId1092" Type="http://schemas.openxmlformats.org/officeDocument/2006/relationships/hyperlink" Target="mailto:adelaide.ferment@inserm.fr" TargetMode="External"/><Relationship Id="rId1106" Type="http://schemas.openxmlformats.org/officeDocument/2006/relationships/hyperlink" Target="mailto:sandrine.vilcot@institutimagine.org" TargetMode="External"/><Relationship Id="rId115" Type="http://schemas.openxmlformats.org/officeDocument/2006/relationships/hyperlink" Target="mailto:halima.hadi@perkinelmer.com" TargetMode="External"/><Relationship Id="rId322" Type="http://schemas.openxmlformats.org/officeDocument/2006/relationships/hyperlink" Target="mailto:maxime.batignes@institutimagine.org" TargetMode="External"/><Relationship Id="rId767" Type="http://schemas.openxmlformats.org/officeDocument/2006/relationships/hyperlink" Target="mailto:nicolas.garcelon@institutimagine.org" TargetMode="External"/><Relationship Id="rId974" Type="http://schemas.openxmlformats.org/officeDocument/2006/relationships/hyperlink" Target="mailto:celine.kostianovsky@institutimagine.org" TargetMode="External"/><Relationship Id="rId199" Type="http://schemas.openxmlformats.org/officeDocument/2006/relationships/hyperlink" Target="mailto:marie.de-bazelaire@institutimagine.org" TargetMode="External"/><Relationship Id="rId627" Type="http://schemas.openxmlformats.org/officeDocument/2006/relationships/hyperlink" Target="mailto:maura.samarani@institutimagine.org" TargetMode="External"/><Relationship Id="rId834" Type="http://schemas.openxmlformats.org/officeDocument/2006/relationships/hyperlink" Target="mailto:bioentrepreneurs@institutimagine.org" TargetMode="External"/><Relationship Id="rId266" Type="http://schemas.openxmlformats.org/officeDocument/2006/relationships/hyperlink" Target="mailto:anne.lenoir@institutimagine;Org" TargetMode="External"/><Relationship Id="rId473" Type="http://schemas.openxmlformats.org/officeDocument/2006/relationships/hyperlink" Target="mailto:tiphaine.piron@aphp.fr" TargetMode="External"/><Relationship Id="rId680" Type="http://schemas.openxmlformats.org/officeDocument/2006/relationships/hyperlink" Target="mailto:geraldine.mollet@inserm.fr" TargetMode="External"/><Relationship Id="rId901" Type="http://schemas.openxmlformats.org/officeDocument/2006/relationships/hyperlink" Target="mailto:naomi.arnaudin@institutimagine.org" TargetMode="External"/><Relationship Id="rId1117" Type="http://schemas.openxmlformats.org/officeDocument/2006/relationships/hyperlink" Target="mailto:angelique.gaba@aphp.fr" TargetMode="External"/><Relationship Id="rId30" Type="http://schemas.openxmlformats.org/officeDocument/2006/relationships/hyperlink" Target="mailto:rima.nabbout@aphp.fr" TargetMode="External"/><Relationship Id="rId126" Type="http://schemas.openxmlformats.org/officeDocument/2006/relationships/hyperlink" Target="mailto:sarah.otmani@aphp.fr%3E" TargetMode="External"/><Relationship Id="rId333" Type="http://schemas.openxmlformats.org/officeDocument/2006/relationships/hyperlink" Target="mailto:pauline.seiter@institutimagine.org" TargetMode="External"/><Relationship Id="rId540" Type="http://schemas.openxmlformats.org/officeDocument/2006/relationships/hyperlink" Target="mailto:annie.benbaruch@institutimagine.org" TargetMode="External"/><Relationship Id="rId778" Type="http://schemas.openxmlformats.org/officeDocument/2006/relationships/hyperlink" Target="mailto:julia.pernet@institutimagine.org" TargetMode="External"/><Relationship Id="rId985" Type="http://schemas.openxmlformats.org/officeDocument/2006/relationships/hyperlink" Target="mailto:angelique.gaba@aphp.fr" TargetMode="External"/><Relationship Id="rId1170" Type="http://schemas.openxmlformats.org/officeDocument/2006/relationships/hyperlink" Target="mailto:yoahne.mateus@institutimagine.org" TargetMode="External"/><Relationship Id="rId638" Type="http://schemas.openxmlformats.org/officeDocument/2006/relationships/hyperlink" Target="mailto:secretariat@rcafactory.com" TargetMode="External"/><Relationship Id="rId845" Type="http://schemas.openxmlformats.org/officeDocument/2006/relationships/hyperlink" Target="mailto:annie.benbaruch@institutimagine.org" TargetMode="External"/><Relationship Id="rId1030" Type="http://schemas.openxmlformats.org/officeDocument/2006/relationships/hyperlink" Target="mailto:annie.benbaruch@institutimagine.org" TargetMode="External"/><Relationship Id="rId277" Type="http://schemas.openxmlformats.org/officeDocument/2006/relationships/hyperlink" Target="mailto:nadia.bahi-buisson@aphp.fr" TargetMode="External"/><Relationship Id="rId400" Type="http://schemas.openxmlformats.org/officeDocument/2006/relationships/hyperlink" Target="mailto:gabriel.morin@institutimagine.org" TargetMode="External"/><Relationship Id="rId484" Type="http://schemas.openxmlformats.org/officeDocument/2006/relationships/hyperlink" Target="mailto:jennifer.sannegond@institutimagine.org" TargetMode="External"/><Relationship Id="rId705" Type="http://schemas.openxmlformats.org/officeDocument/2006/relationships/hyperlink" Target="mailto:angelique.sauvestre@debra.fr" TargetMode="External"/><Relationship Id="rId1128" Type="http://schemas.openxmlformats.org/officeDocument/2006/relationships/hyperlink" Target="mailto:leila.guenineche@institutimagine.org" TargetMode="External"/><Relationship Id="rId137" Type="http://schemas.openxmlformats.org/officeDocument/2006/relationships/hyperlink" Target="mailto:afcollange@gmail.com" TargetMode="External"/><Relationship Id="rId344" Type="http://schemas.openxmlformats.org/officeDocument/2006/relationships/hyperlink" Target="mailto:marianne.barthomier@institutimagine.org" TargetMode="External"/><Relationship Id="rId691" Type="http://schemas.openxmlformats.org/officeDocument/2006/relationships/hyperlink" Target="mailto:guillaume.mondon@institutimagine.org" TargetMode="External"/><Relationship Id="rId789" Type="http://schemas.openxmlformats.org/officeDocument/2006/relationships/hyperlink" Target="mailto:edor.kabashi@institutimagine.org" TargetMode="External"/><Relationship Id="rId912" Type="http://schemas.openxmlformats.org/officeDocument/2006/relationships/hyperlink" Target="mailto:annie.benbaruch@institutimagine.org" TargetMode="External"/><Relationship Id="rId996" Type="http://schemas.openxmlformats.org/officeDocument/2006/relationships/hyperlink" Target="mailto:laurence.legeai-mallet@inserm.fr" TargetMode="External"/><Relationship Id="rId41" Type="http://schemas.openxmlformats.org/officeDocument/2006/relationships/hyperlink" Target="mailto:assoyrii@gmail.com" TargetMode="External"/><Relationship Id="rId551" Type="http://schemas.openxmlformats.org/officeDocument/2006/relationships/hyperlink" Target="mailto:annie.benbaruch@institutimagine.org" TargetMode="External"/><Relationship Id="rId649" Type="http://schemas.openxmlformats.org/officeDocument/2006/relationships/hyperlink" Target="mailto:nathalie.devergnes@aphp.fr" TargetMode="External"/><Relationship Id="rId856" Type="http://schemas.openxmlformats.org/officeDocument/2006/relationships/hyperlink" Target="mailto:maura.samarani@institutimagine.org" TargetMode="External"/><Relationship Id="rId1181" Type="http://schemas.openxmlformats.org/officeDocument/2006/relationships/hyperlink" Target="mailto:cyrielle.valet@institutimagine.org" TargetMode="External"/><Relationship Id="rId190" Type="http://schemas.openxmlformats.org/officeDocument/2006/relationships/hyperlink" Target="mailto:blanca.rojo-guyon@institutimagine.org" TargetMode="External"/><Relationship Id="rId204" Type="http://schemas.openxmlformats.org/officeDocument/2006/relationships/hyperlink" Target="mailto:marie.de-bazelaire@institutimagine.org" TargetMode="External"/><Relationship Id="rId288" Type="http://schemas.openxmlformats.org/officeDocument/2006/relationships/hyperlink" Target="mailto:arnaud.jaccard@chu-limoges.fr" TargetMode="External"/><Relationship Id="rId411" Type="http://schemas.openxmlformats.org/officeDocument/2006/relationships/hyperlink" Target="mailto:jordane.galera@institutimagine.org" TargetMode="External"/><Relationship Id="rId509" Type="http://schemas.openxmlformats.org/officeDocument/2006/relationships/hyperlink" Target="mailto:lila.taibi@aphp.fr" TargetMode="External"/><Relationship Id="rId1041" Type="http://schemas.openxmlformats.org/officeDocument/2006/relationships/hyperlink" Target="mailto:assoyrii@gmail.com" TargetMode="External"/><Relationship Id="rId1139" Type="http://schemas.openxmlformats.org/officeDocument/2006/relationships/hyperlink" Target="mailto:lilian.greau@institutimagine.org" TargetMode="External"/><Relationship Id="rId495" Type="http://schemas.openxmlformats.org/officeDocument/2006/relationships/hyperlink" Target="mailto:michela.Deleidi@institutimagine.org" TargetMode="External"/><Relationship Id="rId716" Type="http://schemas.openxmlformats.org/officeDocument/2006/relationships/hyperlink" Target="mailto:n.gelbert@fvls.fr" TargetMode="External"/><Relationship Id="rId923" Type="http://schemas.openxmlformats.org/officeDocument/2006/relationships/hyperlink" Target="mailto:angelique.gaba@aphp.fr" TargetMode="External"/><Relationship Id="rId52" Type="http://schemas.openxmlformats.org/officeDocument/2006/relationships/hyperlink" Target="mailto:wassa.kanoute@aphp.fr" TargetMode="External"/><Relationship Id="rId148" Type="http://schemas.openxmlformats.org/officeDocument/2006/relationships/hyperlink" Target="mailto:nathalie.borel@institutimagine.org" TargetMode="External"/><Relationship Id="rId355" Type="http://schemas.openxmlformats.org/officeDocument/2006/relationships/hyperlink" Target="mailto:marie.de-bazelaire@institutimagine.org" TargetMode="External"/><Relationship Id="rId562" Type="http://schemas.openxmlformats.org/officeDocument/2006/relationships/hyperlink" Target="mailto:maura.samarani@institutimagine.org" TargetMode="External"/><Relationship Id="rId1192" Type="http://schemas.openxmlformats.org/officeDocument/2006/relationships/hyperlink" Target="mailto:yohane.mateus@institutimagine.org" TargetMode="External"/><Relationship Id="rId1206" Type="http://schemas.openxmlformats.org/officeDocument/2006/relationships/hyperlink" Target="mailto:evenements@institutilagine.org" TargetMode="External"/><Relationship Id="rId215" Type="http://schemas.openxmlformats.org/officeDocument/2006/relationships/hyperlink" Target="mailto:heloise.halse@institutimagine.org" TargetMode="External"/><Relationship Id="rId422" Type="http://schemas.openxmlformats.org/officeDocument/2006/relationships/hyperlink" Target="mailto:assoyrii@gmail.com" TargetMode="External"/><Relationship Id="rId867" Type="http://schemas.openxmlformats.org/officeDocument/2006/relationships/hyperlink" Target="mailto:guillaume.huart@institutimagine.org" TargetMode="External"/><Relationship Id="rId1052" Type="http://schemas.openxmlformats.org/officeDocument/2006/relationships/hyperlink" Target="mailto:assoyrii@institutimagine.org" TargetMode="External"/><Relationship Id="rId299" Type="http://schemas.openxmlformats.org/officeDocument/2006/relationships/hyperlink" Target="mailto:marie.de-bazelaire@institutimagine.org" TargetMode="External"/><Relationship Id="rId727" Type="http://schemas.openxmlformats.org/officeDocument/2006/relationships/hyperlink" Target="mailto:paula.doceur@curie.fr" TargetMode="External"/><Relationship Id="rId934" Type="http://schemas.openxmlformats.org/officeDocument/2006/relationships/hyperlink" Target="mailto:assoyrii@institutimagine.org" TargetMode="External"/><Relationship Id="rId63" Type="http://schemas.openxmlformats.org/officeDocument/2006/relationships/hyperlink" Target="mailto:wassa.kanoute@aphp.fr" TargetMode="External"/><Relationship Id="rId159" Type="http://schemas.openxmlformats.org/officeDocument/2006/relationships/hyperlink" Target="mailto:secretaire.departemental@restosducoeur75.org" TargetMode="External"/><Relationship Id="rId366" Type="http://schemas.openxmlformats.org/officeDocument/2006/relationships/hyperlink" Target="mailto:pauline.seiter@institutimagine.org" TargetMode="External"/><Relationship Id="rId573" Type="http://schemas.openxmlformats.org/officeDocument/2006/relationships/hyperlink" Target="mailto:adrian.gervais@institutimagine.org" TargetMode="External"/><Relationship Id="rId780" Type="http://schemas.openxmlformats.org/officeDocument/2006/relationships/hyperlink" Target="mailto:bioentrepreneurs@institutimagine.org" TargetMode="External"/><Relationship Id="rId226" Type="http://schemas.openxmlformats.org/officeDocument/2006/relationships/hyperlink" Target="mailto:lilia.ben-slama@aphp.fr" TargetMode="External"/><Relationship Id="rId433" Type="http://schemas.openxmlformats.org/officeDocument/2006/relationships/hyperlink" Target="mailto:Secretariat@anjh-congres.fr" TargetMode="External"/><Relationship Id="rId878" Type="http://schemas.openxmlformats.org/officeDocument/2006/relationships/hyperlink" Target="mailto:maura.samarani@institutimagine.org" TargetMode="External"/><Relationship Id="rId1063" Type="http://schemas.openxmlformats.org/officeDocument/2006/relationships/hyperlink" Target="mailto:annie.benbaruch@institutimagine.org" TargetMode="External"/><Relationship Id="rId640" Type="http://schemas.openxmlformats.org/officeDocument/2006/relationships/hyperlink" Target="mailto:alexis.bertrand@institutimagine.org" TargetMode="External"/><Relationship Id="rId738" Type="http://schemas.openxmlformats.org/officeDocument/2006/relationships/hyperlink" Target="mailto:melissa@codoc.co" TargetMode="External"/><Relationship Id="rId945" Type="http://schemas.openxmlformats.org/officeDocument/2006/relationships/hyperlink" Target="mailto:juliette.lacronique-gugliermina@aphp.fr" TargetMode="External"/><Relationship Id="rId74" Type="http://schemas.openxmlformats.org/officeDocument/2006/relationships/hyperlink" Target="mailto:marine.luka@institutimagine.org" TargetMode="External"/><Relationship Id="rId377" Type="http://schemas.openxmlformats.org/officeDocument/2006/relationships/hyperlink" Target="mailto:maura.samarani@institutimagine.org" TargetMode="External"/><Relationship Id="rId500" Type="http://schemas.openxmlformats.org/officeDocument/2006/relationships/hyperlink" Target="mailto:secretariat.afgc.nck@aphp.fr" TargetMode="External"/><Relationship Id="rId584" Type="http://schemas.openxmlformats.org/officeDocument/2006/relationships/hyperlink" Target="mailto:fanny.truant@hotmail.fr" TargetMode="External"/><Relationship Id="rId805" Type="http://schemas.openxmlformats.org/officeDocument/2006/relationships/hyperlink" Target="mailto:louise.e.condon@gmail.com" TargetMode="External"/><Relationship Id="rId1130" Type="http://schemas.openxmlformats.org/officeDocument/2006/relationships/hyperlink" Target="mailto:sandrine.vilcot@institutimagine.org" TargetMode="External"/><Relationship Id="rId5" Type="http://schemas.openxmlformats.org/officeDocument/2006/relationships/hyperlink" Target="mailto:pascal.amireault@inserm.fr" TargetMode="External"/><Relationship Id="rId237" Type="http://schemas.openxmlformats.org/officeDocument/2006/relationships/hyperlink" Target="mailto:tiphaine.piron@aphp.fr" TargetMode="External"/><Relationship Id="rId791" Type="http://schemas.openxmlformats.org/officeDocument/2006/relationships/hyperlink" Target="mailto:estelle.bourbon@live.fr" TargetMode="External"/><Relationship Id="rId889" Type="http://schemas.openxmlformats.org/officeDocument/2006/relationships/hyperlink" Target="mailto:ambroise.leleve@institutimagine.org" TargetMode="External"/><Relationship Id="rId1074" Type="http://schemas.openxmlformats.org/officeDocument/2006/relationships/hyperlink" Target="mailto:ambroise.leleve@institutimagine.org" TargetMode="External"/><Relationship Id="rId444" Type="http://schemas.openxmlformats.org/officeDocument/2006/relationships/hyperlink" Target="mailto:marie.de-bazelaire@institutimagine.org" TargetMode="External"/><Relationship Id="rId651" Type="http://schemas.openxmlformats.org/officeDocument/2006/relationships/hyperlink" Target="mailto:mathilde.bonnet-des-claustres@inserm.fr" TargetMode="External"/><Relationship Id="rId749" Type="http://schemas.openxmlformats.org/officeDocument/2006/relationships/hyperlink" Target="mailto:valerie.malan@aphp.fr" TargetMode="External"/><Relationship Id="rId290" Type="http://schemas.openxmlformats.org/officeDocument/2006/relationships/hyperlink" Target="mailto:anne.lenoir@institutimagine.org" TargetMode="External"/><Relationship Id="rId304" Type="http://schemas.openxmlformats.org/officeDocument/2006/relationships/hyperlink" Target="mailto:pauline.canevet@institutimagine.org" TargetMode="External"/><Relationship Id="rId388" Type="http://schemas.openxmlformats.org/officeDocument/2006/relationships/hyperlink" Target="mailto:gabriel.morin@institutimagine.org" TargetMode="External"/><Relationship Id="rId511" Type="http://schemas.openxmlformats.org/officeDocument/2006/relationships/hyperlink" Target="mailto:clara.sanchez@idaf-asso.fr" TargetMode="External"/><Relationship Id="rId609" Type="http://schemas.openxmlformats.org/officeDocument/2006/relationships/hyperlink" Target="mailto:maura.samarani@institutimagine.org" TargetMode="External"/><Relationship Id="rId956" Type="http://schemas.openxmlformats.org/officeDocument/2006/relationships/hyperlink" Target="mailto:severine.delalande@institutimagine.org" TargetMode="External"/><Relationship Id="rId1141" Type="http://schemas.openxmlformats.org/officeDocument/2006/relationships/hyperlink" Target="mailto:charlotte.benhaim-durin@institutimagine.org" TargetMode="External"/><Relationship Id="rId85" Type="http://schemas.openxmlformats.org/officeDocument/2006/relationships/hyperlink" Target="mailto:blanca.rojo-guyon@institutimagine.org" TargetMode="External"/><Relationship Id="rId150" Type="http://schemas.openxmlformats.org/officeDocument/2006/relationships/hyperlink" Target="mailto:airg.permanence@orange.fr" TargetMode="External"/><Relationship Id="rId595" Type="http://schemas.openxmlformats.org/officeDocument/2006/relationships/hyperlink" Target="mailto:jennifer.sannegond@institutimagine.org" TargetMode="External"/><Relationship Id="rId816" Type="http://schemas.openxmlformats.org/officeDocument/2006/relationships/hyperlink" Target="mailto:fatou.camara@institutimagine.org" TargetMode="External"/><Relationship Id="rId1001" Type="http://schemas.openxmlformats.org/officeDocument/2006/relationships/hyperlink" Target="mailto:celine.kostianovsky@institutimagine.org" TargetMode="External"/><Relationship Id="rId248" Type="http://schemas.openxmlformats.org/officeDocument/2006/relationships/hyperlink" Target="mailto:pauline.canevet@institutimagine.org" TargetMode="External"/><Relationship Id="rId455" Type="http://schemas.openxmlformats.org/officeDocument/2006/relationships/hyperlink" Target="mailto:nathalie.borel@institutimagine.org" TargetMode="External"/><Relationship Id="rId662" Type="http://schemas.openxmlformats.org/officeDocument/2006/relationships/hyperlink" Target="mailto:charlotte.benhaim-durin@institutimagine.org" TargetMode="External"/><Relationship Id="rId1085" Type="http://schemas.openxmlformats.org/officeDocument/2006/relationships/hyperlink" Target="mailto:nour.marzouk@aphp.fr" TargetMode="External"/><Relationship Id="rId12" Type="http://schemas.openxmlformats.org/officeDocument/2006/relationships/hyperlink" Target="mailto:tellier.a@be-sunshine.com%3E" TargetMode="External"/><Relationship Id="rId108" Type="http://schemas.openxmlformats.org/officeDocument/2006/relationships/hyperlink" Target="mailto:parisiledefrance@sfe-endo.fr" TargetMode="External"/><Relationship Id="rId315" Type="http://schemas.openxmlformats.org/officeDocument/2006/relationships/hyperlink" Target="mailto:sandra.colas@aphp.fr" TargetMode="External"/><Relationship Id="rId522" Type="http://schemas.openxmlformats.org/officeDocument/2006/relationships/hyperlink" Target="mailto:vicente.elorriaga@inserm.fr" TargetMode="External"/><Relationship Id="rId967" Type="http://schemas.openxmlformats.org/officeDocument/2006/relationships/hyperlink" Target="mailto:leila.guenineche@institutimagine.org" TargetMode="External"/><Relationship Id="rId1152" Type="http://schemas.openxmlformats.org/officeDocument/2006/relationships/hyperlink" Target="mailto:helene.dufresne@aphp.fr" TargetMode="External"/><Relationship Id="rId96" Type="http://schemas.openxmlformats.org/officeDocument/2006/relationships/hyperlink" Target="mailto:pauline.seiter@institutimagine.org" TargetMode="External"/><Relationship Id="rId161" Type="http://schemas.openxmlformats.org/officeDocument/2006/relationships/hyperlink" Target="mailto:nathalie.boddaert@aphp.fr" TargetMode="External"/><Relationship Id="rId399" Type="http://schemas.openxmlformats.org/officeDocument/2006/relationships/hyperlink" Target="mailto:severine.delalande@institutimagine.org" TargetMode="External"/><Relationship Id="rId827" Type="http://schemas.openxmlformats.org/officeDocument/2006/relationships/hyperlink" Target="mailto:charlotte.benhaim-durin@institutimagine.org" TargetMode="External"/><Relationship Id="rId1012" Type="http://schemas.openxmlformats.org/officeDocument/2006/relationships/hyperlink" Target="mailto:annie.benbaruch@institutimagine.org" TargetMode="External"/><Relationship Id="rId259" Type="http://schemas.openxmlformats.org/officeDocument/2006/relationships/hyperlink" Target="mailto:arthur@codoc.co" TargetMode="External"/><Relationship Id="rId466" Type="http://schemas.openxmlformats.org/officeDocument/2006/relationships/hyperlink" Target="mailto:pauline.canevet@institutimagine.org" TargetMode="External"/><Relationship Id="rId673" Type="http://schemas.openxmlformats.org/officeDocument/2006/relationships/hyperlink" Target="mailto:malorie.tancrez@institutimagine.org" TargetMode="External"/><Relationship Id="rId880" Type="http://schemas.openxmlformats.org/officeDocument/2006/relationships/hyperlink" Target="mailto:annie.benbaruch@institutimagine.org" TargetMode="External"/><Relationship Id="rId1096" Type="http://schemas.openxmlformats.org/officeDocument/2006/relationships/hyperlink" Target="mailto:rebecca.gene@aphp.fr" TargetMode="External"/><Relationship Id="rId23" Type="http://schemas.openxmlformats.org/officeDocument/2006/relationships/hyperlink" Target="mailto:pascal.amireault@inserm.fr" TargetMode="External"/><Relationship Id="rId119" Type="http://schemas.openxmlformats.org/officeDocument/2006/relationships/hyperlink" Target="mailto:tiphaine.piron@aphp.fr" TargetMode="External"/><Relationship Id="rId326" Type="http://schemas.openxmlformats.org/officeDocument/2006/relationships/hyperlink" Target="mailto:moussa.sy@institutimagine.org" TargetMode="External"/><Relationship Id="rId533" Type="http://schemas.openxmlformats.org/officeDocument/2006/relationships/hyperlink" Target="mailto:pauline.marzin@aphp.fr" TargetMode="External"/><Relationship Id="rId978" Type="http://schemas.openxmlformats.org/officeDocument/2006/relationships/hyperlink" Target="mailto:maura.samarani@institutimagine.org" TargetMode="External"/><Relationship Id="rId1163" Type="http://schemas.openxmlformats.org/officeDocument/2006/relationships/hyperlink" Target="mailto:maura.samarani@institutimagine.org" TargetMode="External"/><Relationship Id="rId740" Type="http://schemas.openxmlformats.org/officeDocument/2006/relationships/hyperlink" Target="mailto:arthur@codoc.co" TargetMode="External"/><Relationship Id="rId838" Type="http://schemas.openxmlformats.org/officeDocument/2006/relationships/hyperlink" Target="mailto:assoyrii@gmail.com" TargetMode="External"/><Relationship Id="rId1023" Type="http://schemas.openxmlformats.org/officeDocument/2006/relationships/hyperlink" Target="mailto:annie.benbaruch@institutimagine.org" TargetMode="External"/><Relationship Id="rId172" Type="http://schemas.openxmlformats.org/officeDocument/2006/relationships/hyperlink" Target="mailto:blanca.rojo-guyon@institutimagine.org" TargetMode="External"/><Relationship Id="rId477" Type="http://schemas.openxmlformats.org/officeDocument/2006/relationships/hyperlink" Target="mailto:ines.rajbaoui@institutimagine.org" TargetMode="External"/><Relationship Id="rId600" Type="http://schemas.openxmlformats.org/officeDocument/2006/relationships/hyperlink" Target="mailto:anne.lenoir@institutimagine.org" TargetMode="External"/><Relationship Id="rId684" Type="http://schemas.openxmlformats.org/officeDocument/2006/relationships/hyperlink" Target="mailto:pauline.canevet@institutimagine.org" TargetMode="External"/><Relationship Id="rId337" Type="http://schemas.openxmlformats.org/officeDocument/2006/relationships/hyperlink" Target="mailto:nathalie.borel@institutimagine.org" TargetMode="External"/><Relationship Id="rId891" Type="http://schemas.openxmlformats.org/officeDocument/2006/relationships/hyperlink" Target="mailto:leila.guenineche@institutimagine.org" TargetMode="External"/><Relationship Id="rId905" Type="http://schemas.openxmlformats.org/officeDocument/2006/relationships/hyperlink" Target="mailto:cleprince@clubeti.org" TargetMode="External"/><Relationship Id="rId989" Type="http://schemas.openxmlformats.org/officeDocument/2006/relationships/hyperlink" Target="mailto:anne-florence.collange@inserm.fr" TargetMode="External"/><Relationship Id="rId34" Type="http://schemas.openxmlformats.org/officeDocument/2006/relationships/hyperlink" Target="mailto:azza.khemiri@aphp.fr" TargetMode="External"/><Relationship Id="rId544" Type="http://schemas.openxmlformats.org/officeDocument/2006/relationships/hyperlink" Target="mailto:jordane.galera@institutimagine.org" TargetMode="External"/><Relationship Id="rId751" Type="http://schemas.openxmlformats.org/officeDocument/2006/relationships/hyperlink" Target="mailto:marlene.ruat@aphp.fr" TargetMode="External"/><Relationship Id="rId849" Type="http://schemas.openxmlformats.org/officeDocument/2006/relationships/hyperlink" Target="mailto:patrick.justin@institutimagine.org" TargetMode="External"/><Relationship Id="rId1174" Type="http://schemas.openxmlformats.org/officeDocument/2006/relationships/hyperlink" Target="mailto:lilia.ezzili@aphp.fr" TargetMode="External"/><Relationship Id="rId183" Type="http://schemas.openxmlformats.org/officeDocument/2006/relationships/hyperlink" Target="mailto:genevieve.baujat@institutimagine.org" TargetMode="External"/><Relationship Id="rId390" Type="http://schemas.openxmlformats.org/officeDocument/2006/relationships/hyperlink" Target="mailto:jordane.galera@institutimagine.org" TargetMode="External"/><Relationship Id="rId404" Type="http://schemas.openxmlformats.org/officeDocument/2006/relationships/hyperlink" Target="mailto:arnold.munnich@inserm.fr" TargetMode="External"/><Relationship Id="rId611" Type="http://schemas.openxmlformats.org/officeDocument/2006/relationships/hyperlink" Target="mailto:thibaut.perchet@institutimagine.org" TargetMode="External"/><Relationship Id="rId1034" Type="http://schemas.openxmlformats.org/officeDocument/2006/relationships/hyperlink" Target="mailto:helene.lepinay@dessinemoiunmouton.org" TargetMode="External"/><Relationship Id="rId250" Type="http://schemas.openxmlformats.org/officeDocument/2006/relationships/hyperlink" Target="mailto:julia.pernet@institutimagine.org" TargetMode="External"/><Relationship Id="rId488" Type="http://schemas.openxmlformats.org/officeDocument/2006/relationships/hyperlink" Target="mailto:fanny.schiappapietre@institutimagine.org" TargetMode="External"/><Relationship Id="rId695" Type="http://schemas.openxmlformats.org/officeDocument/2006/relationships/hyperlink" Target="mailto:leila.guenineche@institutimagine.org" TargetMode="External"/><Relationship Id="rId709" Type="http://schemas.openxmlformats.org/officeDocument/2006/relationships/hyperlink" Target="mailto:koskas.priscillia@sysmex.fr" TargetMode="External"/><Relationship Id="rId916" Type="http://schemas.openxmlformats.org/officeDocument/2006/relationships/hyperlink" Target="mailto:annie.benbaruch@institutimagine.org" TargetMode="External"/><Relationship Id="rId1101" Type="http://schemas.openxmlformats.org/officeDocument/2006/relationships/hyperlink" Target="mailto:guillaume.mondon@institutimagine.org" TargetMode="External"/><Relationship Id="rId45" Type="http://schemas.openxmlformats.org/officeDocument/2006/relationships/hyperlink" Target="mailto:assoyrii@gmail.com" TargetMode="External"/><Relationship Id="rId110" Type="http://schemas.openxmlformats.org/officeDocument/2006/relationships/hyperlink" Target="mailto:laeticia.leclere@aphp.fr" TargetMode="External"/><Relationship Id="rId348" Type="http://schemas.openxmlformats.org/officeDocument/2006/relationships/hyperlink" Target="mailto:marianne.barthomier@institutimagine.org" TargetMode="External"/><Relationship Id="rId555" Type="http://schemas.openxmlformats.org/officeDocument/2006/relationships/hyperlink" Target="mailto:eric.lemaur@institutimagine.org" TargetMode="External"/><Relationship Id="rId762" Type="http://schemas.openxmlformats.org/officeDocument/2006/relationships/hyperlink" Target="mailto:charlotte.benhaim-durin@institutimagine.org" TargetMode="External"/><Relationship Id="rId1185" Type="http://schemas.openxmlformats.org/officeDocument/2006/relationships/hyperlink" Target="mailto:charlotte.bengaim-durin@institutimagine.org" TargetMode="External"/><Relationship Id="rId194" Type="http://schemas.openxmlformats.org/officeDocument/2006/relationships/hyperlink" Target="mailto:pauline.seiter@institutimagine.org" TargetMode="External"/><Relationship Id="rId208" Type="http://schemas.openxmlformats.org/officeDocument/2006/relationships/hyperlink" Target="mailto:blanca.rojo-guyon@institutimagine.org" TargetMode="External"/><Relationship Id="rId415" Type="http://schemas.openxmlformats.org/officeDocument/2006/relationships/hyperlink" Target="mailto:marie.de-bazelaire@institutimagine.org" TargetMode="External"/><Relationship Id="rId622" Type="http://schemas.openxmlformats.org/officeDocument/2006/relationships/hyperlink" Target="mailto:federico.bertoli@institutimagine.org" TargetMode="External"/><Relationship Id="rId1045" Type="http://schemas.openxmlformats.org/officeDocument/2006/relationships/hyperlink" Target="mailto:leila.guenineche@institutimagine.org" TargetMode="External"/><Relationship Id="rId261" Type="http://schemas.openxmlformats.org/officeDocument/2006/relationships/hyperlink" Target="mailto:malika.tiouri@inserm.fr" TargetMode="External"/><Relationship Id="rId499" Type="http://schemas.openxmlformats.org/officeDocument/2006/relationships/hyperlink" Target="mailto:maura.samarani@institutimagine.org" TargetMode="External"/><Relationship Id="rId927" Type="http://schemas.openxmlformats.org/officeDocument/2006/relationships/hyperlink" Target="mailto:contact.ajspi@gmail.com" TargetMode="External"/><Relationship Id="rId1112" Type="http://schemas.openxmlformats.org/officeDocument/2006/relationships/hyperlink" Target="mailto:ambroise.leleve@institutimagine.org" TargetMode="External"/><Relationship Id="rId56" Type="http://schemas.openxmlformats.org/officeDocument/2006/relationships/hyperlink" Target="mailto:veronique.abadie@aphp.fr" TargetMode="External"/><Relationship Id="rId359" Type="http://schemas.openxmlformats.org/officeDocument/2006/relationships/hyperlink" Target="mailto:annie.benbaruch@institutimagine.org" TargetMode="External"/><Relationship Id="rId566" Type="http://schemas.openxmlformats.org/officeDocument/2006/relationships/hyperlink" Target="mailto:ad75.secretairedepartemental@restosducoeur.org" TargetMode="External"/><Relationship Id="rId773" Type="http://schemas.openxmlformats.org/officeDocument/2006/relationships/hyperlink" Target="mailto:maura.samarani@institutimagine.org" TargetMode="External"/><Relationship Id="rId1196" Type="http://schemas.openxmlformats.org/officeDocument/2006/relationships/hyperlink" Target="mailto:evenements@institutilagine.org" TargetMode="External"/><Relationship Id="rId121" Type="http://schemas.openxmlformats.org/officeDocument/2006/relationships/hyperlink" Target="mailto:pauline.seiter@institutimagine.org" TargetMode="External"/><Relationship Id="rId219" Type="http://schemas.openxmlformats.org/officeDocument/2006/relationships/hyperlink" Target="mailto:kevin.blaizet@aphp.fr" TargetMode="External"/><Relationship Id="rId426" Type="http://schemas.openxmlformats.org/officeDocument/2006/relationships/hyperlink" Target="mailto:afcollange@gmail.com" TargetMode="External"/><Relationship Id="rId633" Type="http://schemas.openxmlformats.org/officeDocument/2006/relationships/hyperlink" Target="mailto:frederic.causeret@inserm.fr" TargetMode="External"/><Relationship Id="rId980" Type="http://schemas.openxmlformats.org/officeDocument/2006/relationships/hyperlink" Target="mailto:celine.kostianovsky@institutimagine.org" TargetMode="External"/><Relationship Id="rId1056" Type="http://schemas.openxmlformats.org/officeDocument/2006/relationships/hyperlink" Target="mailto:charlotte.benhaim-durin@institutimagine.org" TargetMode="External"/><Relationship Id="rId840" Type="http://schemas.openxmlformats.org/officeDocument/2006/relationships/hyperlink" Target="mailto:anne.lenoir@institutimagine.org" TargetMode="External"/><Relationship Id="rId938" Type="http://schemas.openxmlformats.org/officeDocument/2006/relationships/hyperlink" Target="mailto:maura.samarani@institutimagine.org" TargetMode="External"/><Relationship Id="rId67" Type="http://schemas.openxmlformats.org/officeDocument/2006/relationships/hyperlink" Target="mailto:bapstiste.vierne@aphp.fr" TargetMode="External"/><Relationship Id="rId272" Type="http://schemas.openxmlformats.org/officeDocument/2006/relationships/hyperlink" Target="mailto:marianne.barthomier@institutimagine.org" TargetMode="External"/><Relationship Id="rId577" Type="http://schemas.openxmlformats.org/officeDocument/2006/relationships/hyperlink" Target="mailto:julia.pernet@institutimagine.org" TargetMode="External"/><Relationship Id="rId700" Type="http://schemas.openxmlformats.org/officeDocument/2006/relationships/hyperlink" Target="mailto:olompas@vaincrelamuco.org" TargetMode="External"/><Relationship Id="rId1123" Type="http://schemas.openxmlformats.org/officeDocument/2006/relationships/hyperlink" Target="mailto:yoahne.mateus@institutimagine.org" TargetMode="External"/><Relationship Id="rId132" Type="http://schemas.openxmlformats.org/officeDocument/2006/relationships/hyperlink" Target="mailto:mahlaouinizar@gmail.com" TargetMode="External"/><Relationship Id="rId784" Type="http://schemas.openxmlformats.org/officeDocument/2006/relationships/hyperlink" Target="mailto:julia.pernet@institutimagine.org" TargetMode="External"/><Relationship Id="rId991" Type="http://schemas.openxmlformats.org/officeDocument/2006/relationships/hyperlink" Target="mailto:celine.banal@institutimagine.org" TargetMode="External"/><Relationship Id="rId1067" Type="http://schemas.openxmlformats.org/officeDocument/2006/relationships/hyperlink" Target="mailto:nadia.harrani@aphp.fr" TargetMode="External"/><Relationship Id="rId437" Type="http://schemas.openxmlformats.org/officeDocument/2006/relationships/hyperlink" Target="mailto:maura.samarani@institutimagine.org" TargetMode="External"/><Relationship Id="rId644" Type="http://schemas.openxmlformats.org/officeDocument/2006/relationships/hyperlink" Target="mailto:maura.samarani@institutimagine.org" TargetMode="External"/><Relationship Id="rId851" Type="http://schemas.openxmlformats.org/officeDocument/2006/relationships/hyperlink" Target="mailto:fanny.rollin@aphp.fr" TargetMode="External"/><Relationship Id="rId283" Type="http://schemas.openxmlformats.org/officeDocument/2006/relationships/hyperlink" Target="mailto:dany.anglicheau@aphp.fr" TargetMode="External"/><Relationship Id="rId490" Type="http://schemas.openxmlformats.org/officeDocument/2006/relationships/hyperlink" Target="mailto:pauline.canevet@institutimagine.org" TargetMode="External"/><Relationship Id="rId504" Type="http://schemas.openxmlformats.org/officeDocument/2006/relationships/hyperlink" Target="mailto:stanislas.lyonnet@institutimagine.org" TargetMode="External"/><Relationship Id="rId711" Type="http://schemas.openxmlformats.org/officeDocument/2006/relationships/hyperlink" Target="mailto:developpeur.gfhgnp@gmail.com" TargetMode="External"/><Relationship Id="rId949" Type="http://schemas.openxmlformats.org/officeDocument/2006/relationships/hyperlink" Target="mailto:louise.cheneau@institutimagine.org" TargetMode="External"/><Relationship Id="rId1134" Type="http://schemas.openxmlformats.org/officeDocument/2006/relationships/hyperlink" Target="mailto:reyes.castano-martin@institutimagine.org" TargetMode="External"/><Relationship Id="rId78" Type="http://schemas.openxmlformats.org/officeDocument/2006/relationships/hyperlink" Target="mailto:julien.husson@institutimagine.org" TargetMode="External"/><Relationship Id="rId143" Type="http://schemas.openxmlformats.org/officeDocument/2006/relationships/hyperlink" Target="mailto:pauline.seiter@institutimagine.org" TargetMode="External"/><Relationship Id="rId350" Type="http://schemas.openxmlformats.org/officeDocument/2006/relationships/hyperlink" Target="mailto:pauline.seiter@institutimagine.org" TargetMode="External"/><Relationship Id="rId588" Type="http://schemas.openxmlformats.org/officeDocument/2006/relationships/hyperlink" Target="mailto:julia.pernet@institutimagine.org" TargetMode="External"/><Relationship Id="rId795" Type="http://schemas.openxmlformats.org/officeDocument/2006/relationships/hyperlink" Target="mailto:assoyrii@gmail.com" TargetMode="External"/><Relationship Id="rId809" Type="http://schemas.openxmlformats.org/officeDocument/2006/relationships/hyperlink" Target="mailto:jennifer.sannegond@institutimagine.org" TargetMode="External"/><Relationship Id="rId1201" Type="http://schemas.openxmlformats.org/officeDocument/2006/relationships/hyperlink" Target="mailto:evenements@institutilagine.org" TargetMode="External"/><Relationship Id="rId9" Type="http://schemas.openxmlformats.org/officeDocument/2006/relationships/hyperlink" Target="mailto:rima.nabbout@aphp.fr" TargetMode="External"/><Relationship Id="rId210" Type="http://schemas.openxmlformats.org/officeDocument/2006/relationships/hyperlink" Target="mailto:marie.de-bazelaire@institutimagine.org" TargetMode="External"/><Relationship Id="rId448" Type="http://schemas.openxmlformats.org/officeDocument/2006/relationships/hyperlink" Target="mailto:maura.samarani@institutimagine.org" TargetMode="External"/><Relationship Id="rId655" Type="http://schemas.openxmlformats.org/officeDocument/2006/relationships/hyperlink" Target="mailto:annie.benbaruch@institutimagine.org" TargetMode="External"/><Relationship Id="rId862" Type="http://schemas.openxmlformats.org/officeDocument/2006/relationships/hyperlink" Target="mailto:christophe.delacourt@aphp.fr" TargetMode="External"/><Relationship Id="rId1078" Type="http://schemas.openxmlformats.org/officeDocument/2006/relationships/hyperlink" Target="mailto:sandrine.vilcot@institutimagine.org" TargetMode="External"/><Relationship Id="rId294" Type="http://schemas.openxmlformats.org/officeDocument/2006/relationships/hyperlink" Target="mailto:marianne.barthomier@institutimagine.org" TargetMode="External"/><Relationship Id="rId308" Type="http://schemas.openxmlformats.org/officeDocument/2006/relationships/hyperlink" Target="mailto:melania.cruciani@institutimagine.org" TargetMode="External"/><Relationship Id="rId515" Type="http://schemas.openxmlformats.org/officeDocument/2006/relationships/hyperlink" Target="mailto:isabelle.hascoet2@aphp.fr" TargetMode="External"/><Relationship Id="rId722" Type="http://schemas.openxmlformats.org/officeDocument/2006/relationships/hyperlink" Target="mailto:martin.biosse-duplan@aphp.fr" TargetMode="External"/><Relationship Id="rId1145" Type="http://schemas.openxmlformats.org/officeDocument/2006/relationships/hyperlink" Target="mailto:leila.guenineche@institutimagine.org" TargetMode="External"/><Relationship Id="rId89" Type="http://schemas.openxmlformats.org/officeDocument/2006/relationships/hyperlink" Target="mailto:maura.samarani@institutimagine.org" TargetMode="External"/><Relationship Id="rId154" Type="http://schemas.openxmlformats.org/officeDocument/2006/relationships/hyperlink" Target="mailto:gael.menasche@institutimagine.org" TargetMode="External"/><Relationship Id="rId361" Type="http://schemas.openxmlformats.org/officeDocument/2006/relationships/hyperlink" Target="mailto:pauline.canevet@institutimagine.org" TargetMode="External"/><Relationship Id="rId599" Type="http://schemas.openxmlformats.org/officeDocument/2006/relationships/hyperlink" Target="mailto:myriam.de-chalendar@aphp.fr" TargetMode="External"/><Relationship Id="rId1005" Type="http://schemas.openxmlformats.org/officeDocument/2006/relationships/hyperlink" Target="mailto:cyrielle.valet@institutimagine.org" TargetMode="External"/><Relationship Id="rId459" Type="http://schemas.openxmlformats.org/officeDocument/2006/relationships/hyperlink" Target="mailto:gabriel.morin@institutimagine.org" TargetMode="External"/><Relationship Id="rId666" Type="http://schemas.openxmlformats.org/officeDocument/2006/relationships/hyperlink" Target="mailto:tiphaine.piron@aphp.fr" TargetMode="External"/><Relationship Id="rId873" Type="http://schemas.openxmlformats.org/officeDocument/2006/relationships/hyperlink" Target="mailto:annie.benbaruch@institutimagine.org" TargetMode="External"/><Relationship Id="rId1089" Type="http://schemas.openxmlformats.org/officeDocument/2006/relationships/hyperlink" Target="mailto:leila.guenineche@institutimagine.org" TargetMode="External"/><Relationship Id="rId16" Type="http://schemas.openxmlformats.org/officeDocument/2006/relationships/hyperlink" Target="mailto:wassa.kanoute@aphp.fr" TargetMode="External"/><Relationship Id="rId221" Type="http://schemas.openxmlformats.org/officeDocument/2006/relationships/hyperlink" Target="mailto:geraldine.mollet@inserm.fr" TargetMode="External"/><Relationship Id="rId319" Type="http://schemas.openxmlformats.org/officeDocument/2006/relationships/hyperlink" Target="mailto:marianne.barthomier@institutimagine.org" TargetMode="External"/><Relationship Id="rId526" Type="http://schemas.openxmlformats.org/officeDocument/2006/relationships/hyperlink" Target="mailto:genevieve.baujat@aphp.fr" TargetMode="External"/><Relationship Id="rId1156" Type="http://schemas.openxmlformats.org/officeDocument/2006/relationships/hyperlink" Target="mailto:morgane.cheminant@aphp.fr" TargetMode="External"/><Relationship Id="rId733" Type="http://schemas.openxmlformats.org/officeDocument/2006/relationships/hyperlink" Target="mailto:chloe.barbant@gmail.com" TargetMode="External"/><Relationship Id="rId940" Type="http://schemas.openxmlformats.org/officeDocument/2006/relationships/hyperlink" Target="mailto:juliette.lemoine@institutimagine.org" TargetMode="External"/><Relationship Id="rId1016" Type="http://schemas.openxmlformats.org/officeDocument/2006/relationships/hyperlink" Target="mailto:pauline.canevet@institutimagine.org" TargetMode="External"/><Relationship Id="rId165" Type="http://schemas.openxmlformats.org/officeDocument/2006/relationships/hyperlink" Target="mailto:maura.samarani@institutimagine.org" TargetMode="External"/><Relationship Id="rId372" Type="http://schemas.openxmlformats.org/officeDocument/2006/relationships/hyperlink" Target="mailto:patrick.justin@institutimagine.org" TargetMode="External"/><Relationship Id="rId677" Type="http://schemas.openxmlformats.org/officeDocument/2006/relationships/hyperlink" Target="mailto:charlotte.benhaim-durin@institutimagine.org" TargetMode="External"/><Relationship Id="rId800" Type="http://schemas.openxmlformats.org/officeDocument/2006/relationships/hyperlink" Target="mailto:renaud.magnant@institutimagine.org" TargetMode="External"/><Relationship Id="rId232" Type="http://schemas.openxmlformats.org/officeDocument/2006/relationships/hyperlink" Target="mailto:pauline.canevet@institutimagine.org" TargetMode="External"/><Relationship Id="rId884" Type="http://schemas.openxmlformats.org/officeDocument/2006/relationships/hyperlink" Target="mailto:annie.benbaruch@institutimagine.org" TargetMode="External"/><Relationship Id="rId27" Type="http://schemas.openxmlformats.org/officeDocument/2006/relationships/hyperlink" Target="mailto:sandrine.mendy@aphp.fr" TargetMode="External"/><Relationship Id="rId537" Type="http://schemas.openxmlformats.org/officeDocument/2006/relationships/hyperlink" Target="mailto:amandine.berton@aphp.fr" TargetMode="External"/><Relationship Id="rId744" Type="http://schemas.openxmlformats.org/officeDocument/2006/relationships/hyperlink" Target="mailto:eva.galateau@andcs.org" TargetMode="External"/><Relationship Id="rId951" Type="http://schemas.openxmlformats.org/officeDocument/2006/relationships/hyperlink" Target="mailto:pierre-hassim.malbec@institutimagine.org" TargetMode="External"/><Relationship Id="rId1167" Type="http://schemas.openxmlformats.org/officeDocument/2006/relationships/hyperlink" Target="mailto:annie.benbaruch@institutimagine.org" TargetMode="External"/><Relationship Id="rId80" Type="http://schemas.openxmlformats.org/officeDocument/2006/relationships/hyperlink" Target="mailto:blanca.rojo-guyon@institutimagine.org" TargetMode="External"/><Relationship Id="rId176" Type="http://schemas.openxmlformats.org/officeDocument/2006/relationships/hyperlink" Target="mailto:blanca.rojo-guyon@institutimagine.org" TargetMode="External"/><Relationship Id="rId383" Type="http://schemas.openxmlformats.org/officeDocument/2006/relationships/hyperlink" Target="mailto:annie.benbaruch@institutimagine.org" TargetMode="External"/><Relationship Id="rId590" Type="http://schemas.openxmlformats.org/officeDocument/2006/relationships/hyperlink" Target="mailto:secretariat.afgc.nck@aphp.fr" TargetMode="External"/><Relationship Id="rId604" Type="http://schemas.openxmlformats.org/officeDocument/2006/relationships/hyperlink" Target="mailto:leila.guenineche@institutimagine.org" TargetMode="External"/><Relationship Id="rId811" Type="http://schemas.openxmlformats.org/officeDocument/2006/relationships/hyperlink" Target="mailto:julie.tahraoui@institutimagine.org" TargetMode="External"/><Relationship Id="rId1027" Type="http://schemas.openxmlformats.org/officeDocument/2006/relationships/hyperlink" Target="mailto:leila.guenineche@institutimagine.org" TargetMode="External"/><Relationship Id="rId243" Type="http://schemas.openxmlformats.org/officeDocument/2006/relationships/hyperlink" Target="mailto:ambroise.leleve@institutimagine.org" TargetMode="External"/><Relationship Id="rId450" Type="http://schemas.openxmlformats.org/officeDocument/2006/relationships/hyperlink" Target="mailto:annie.benbaruch@institutimagine.org" TargetMode="External"/><Relationship Id="rId688" Type="http://schemas.openxmlformats.org/officeDocument/2006/relationships/hyperlink" Target="mailto:maura.samarani@institutimagine.org" TargetMode="External"/><Relationship Id="rId895" Type="http://schemas.openxmlformats.org/officeDocument/2006/relationships/hyperlink" Target="mailto:charlotte.benhaim-durin@institutimagine.org" TargetMode="External"/><Relationship Id="rId909" Type="http://schemas.openxmlformats.org/officeDocument/2006/relationships/hyperlink" Target="mailto:jennifer.sannegond@institutimagine.org" TargetMode="External"/><Relationship Id="rId1080" Type="http://schemas.openxmlformats.org/officeDocument/2006/relationships/hyperlink" Target="mailto:maryam.aboutiman@inserm.fr" TargetMode="External"/><Relationship Id="rId38" Type="http://schemas.openxmlformats.org/officeDocument/2006/relationships/hyperlink" Target="mailto:tiphaine.piron@aphp.fr" TargetMode="External"/><Relationship Id="rId103" Type="http://schemas.openxmlformats.org/officeDocument/2006/relationships/hyperlink" Target="mailto:juliette.lacronique-gugliermina@aphp.fr" TargetMode="External"/><Relationship Id="rId310" Type="http://schemas.openxmlformats.org/officeDocument/2006/relationships/hyperlink" Target="mailto:lucile.marchal@institutimagine.org" TargetMode="External"/><Relationship Id="rId548" Type="http://schemas.openxmlformats.org/officeDocument/2006/relationships/hyperlink" Target="mailto:snaigune.miskinyte@inserm.fr" TargetMode="External"/><Relationship Id="rId755" Type="http://schemas.openxmlformats.org/officeDocument/2006/relationships/hyperlink" Target="mailto:maura.samarani@institutimagine.org" TargetMode="External"/><Relationship Id="rId962" Type="http://schemas.openxmlformats.org/officeDocument/2006/relationships/hyperlink" Target="mailto:annie.benbaruch@institutimagine.org" TargetMode="External"/><Relationship Id="rId1178" Type="http://schemas.openxmlformats.org/officeDocument/2006/relationships/hyperlink" Target="mailto:thiphaine.piron@aphp.fr" TargetMode="External"/><Relationship Id="rId91" Type="http://schemas.openxmlformats.org/officeDocument/2006/relationships/hyperlink" Target="mailto:pauline.seiter@institutimagine.org" TargetMode="External"/><Relationship Id="rId187" Type="http://schemas.openxmlformats.org/officeDocument/2006/relationships/hyperlink" Target="mailto:marie.de-bazelaire@institutimagine.org" TargetMode="External"/><Relationship Id="rId394" Type="http://schemas.openxmlformats.org/officeDocument/2006/relationships/hyperlink" Target="mailto:ambroise.leleve@institutimagine.org" TargetMode="External"/><Relationship Id="rId408" Type="http://schemas.openxmlformats.org/officeDocument/2006/relationships/hyperlink" Target="mailto:annie.benbaruch@institutimagine.org" TargetMode="External"/><Relationship Id="rId615" Type="http://schemas.openxmlformats.org/officeDocument/2006/relationships/hyperlink" Target="mailto:cyrielle.valet@institutimagine.org" TargetMode="External"/><Relationship Id="rId822" Type="http://schemas.openxmlformats.org/officeDocument/2006/relationships/hyperlink" Target="mailto:annie.benbaruch@institutimagine.org" TargetMode="External"/><Relationship Id="rId1038" Type="http://schemas.openxmlformats.org/officeDocument/2006/relationships/hyperlink" Target="mailto:maura.samarani@institutimagine.org" TargetMode="External"/><Relationship Id="rId254" Type="http://schemas.openxmlformats.org/officeDocument/2006/relationships/hyperlink" Target="mailto:marianne.barthomier@institutimagine.org" TargetMode="External"/><Relationship Id="rId699" Type="http://schemas.openxmlformats.org/officeDocument/2006/relationships/hyperlink" Target="mailto:nadia.harrani@aphp.fr" TargetMode="External"/><Relationship Id="rId1091" Type="http://schemas.openxmlformats.org/officeDocument/2006/relationships/hyperlink" Target="mailto:assoyrii@institutimagine.org" TargetMode="External"/><Relationship Id="rId1105" Type="http://schemas.openxmlformats.org/officeDocument/2006/relationships/hyperlink" Target="mailto:sandrine.vilcot@institutimagine.org" TargetMode="External"/><Relationship Id="rId49" Type="http://schemas.openxmlformats.org/officeDocument/2006/relationships/hyperlink" Target="mailto:benedicte.pigneur@aphp.fr" TargetMode="External"/><Relationship Id="rId114" Type="http://schemas.openxmlformats.org/officeDocument/2006/relationships/hyperlink" Target="mailto:rebecca.gene@aphp.fr" TargetMode="External"/><Relationship Id="rId461" Type="http://schemas.openxmlformats.org/officeDocument/2006/relationships/hyperlink" Target="mailto:maura.samarani@institutimagine.org" TargetMode="External"/><Relationship Id="rId559" Type="http://schemas.openxmlformats.org/officeDocument/2006/relationships/hyperlink" Target="mailto:secretariat.afgc.nck@aphp.fr" TargetMode="External"/><Relationship Id="rId766" Type="http://schemas.openxmlformats.org/officeDocument/2006/relationships/hyperlink" Target="mailto:julia.pernet@institutimagine.org" TargetMode="External"/><Relationship Id="rId1189" Type="http://schemas.openxmlformats.org/officeDocument/2006/relationships/hyperlink" Target="mailto:patricia.panikulam@institutimagine.org" TargetMode="External"/><Relationship Id="rId198" Type="http://schemas.openxmlformats.org/officeDocument/2006/relationships/hyperlink" Target="mailto:quentin.philippot@institutimagine.org" TargetMode="External"/><Relationship Id="rId321" Type="http://schemas.openxmlformats.org/officeDocument/2006/relationships/hyperlink" Target="mailto:marianne.barthomier@institutimagine.org" TargetMode="External"/><Relationship Id="rId419" Type="http://schemas.openxmlformats.org/officeDocument/2006/relationships/hyperlink" Target="mailto:maura.samarani@institutimagine.org" TargetMode="External"/><Relationship Id="rId626" Type="http://schemas.openxmlformats.org/officeDocument/2006/relationships/hyperlink" Target="mailto:miriam.villegas@institutimagine.org" TargetMode="External"/><Relationship Id="rId973" Type="http://schemas.openxmlformats.org/officeDocument/2006/relationships/hyperlink" Target="mailto:marie.ayoub@aphp.fr" TargetMode="External"/><Relationship Id="rId1049" Type="http://schemas.openxmlformats.org/officeDocument/2006/relationships/hyperlink" Target="mailto:edwige.devaux@ahp.fr" TargetMode="External"/><Relationship Id="rId833" Type="http://schemas.openxmlformats.org/officeDocument/2006/relationships/hyperlink" Target="mailto:maura.samarani@institutimagine.org" TargetMode="External"/><Relationship Id="rId1116" Type="http://schemas.openxmlformats.org/officeDocument/2006/relationships/hyperlink" Target="mailto:ambroise.leleve@institutimagine.org" TargetMode="External"/><Relationship Id="rId265" Type="http://schemas.openxmlformats.org/officeDocument/2006/relationships/hyperlink" Target="mailto:severine.delalande@institutimagine.org" TargetMode="External"/><Relationship Id="rId472" Type="http://schemas.openxmlformats.org/officeDocument/2006/relationships/hyperlink" Target="mailto:fanny.schiappapietre@institutimagine.org" TargetMode="External"/><Relationship Id="rId900" Type="http://schemas.openxmlformats.org/officeDocument/2006/relationships/hyperlink" Target="mailto:judith.halewa@institutimagine.org" TargetMode="External"/><Relationship Id="rId125" Type="http://schemas.openxmlformats.org/officeDocument/2006/relationships/hyperlink" Target="mailto:olompas@vaincrelamuco.org" TargetMode="External"/><Relationship Id="rId332" Type="http://schemas.openxmlformats.org/officeDocument/2006/relationships/hyperlink" Target="mailto:marie-louise.fremond@aphp.fr" TargetMode="External"/><Relationship Id="rId777" Type="http://schemas.openxmlformats.org/officeDocument/2006/relationships/hyperlink" Target="mailto:alexandre.benmerah@inserm.fr" TargetMode="External"/><Relationship Id="rId984" Type="http://schemas.openxmlformats.org/officeDocument/2006/relationships/hyperlink" Target="mailto:zoeline.mars@institutimagine.org" TargetMode="External"/><Relationship Id="rId637" Type="http://schemas.openxmlformats.org/officeDocument/2006/relationships/hyperlink" Target="mailto:diogobe.ndao@aphp.fr" TargetMode="External"/><Relationship Id="rId844" Type="http://schemas.openxmlformats.org/officeDocument/2006/relationships/hyperlink" Target="mailto:leila.guenineche@institutimagine.org" TargetMode="External"/><Relationship Id="rId276" Type="http://schemas.openxmlformats.org/officeDocument/2006/relationships/hyperlink" Target="mailto:sandrine.ettlin@aphp.fr" TargetMode="External"/><Relationship Id="rId483" Type="http://schemas.openxmlformats.org/officeDocument/2006/relationships/hyperlink" Target="mailto:pauline.canevet@institutimagine.org" TargetMode="External"/><Relationship Id="rId690" Type="http://schemas.openxmlformats.org/officeDocument/2006/relationships/hyperlink" Target="mailto:annie.benbaruch@institutimagine.org" TargetMode="External"/><Relationship Id="rId704" Type="http://schemas.openxmlformats.org/officeDocument/2006/relationships/hyperlink" Target="mailto:malika.tiouri@inserm.fr" TargetMode="External"/><Relationship Id="rId911" Type="http://schemas.openxmlformats.org/officeDocument/2006/relationships/hyperlink" Target="mailto:pauline.canevet@institutimagine.org" TargetMode="External"/><Relationship Id="rId1127" Type="http://schemas.openxmlformats.org/officeDocument/2006/relationships/hyperlink" Target="mailto:charlotte.benhaim-durin@institutimagine.org" TargetMode="External"/><Relationship Id="rId40" Type="http://schemas.openxmlformats.org/officeDocument/2006/relationships/hyperlink" Target="mailto:genevieve.baujat@aphp.fr" TargetMode="External"/><Relationship Id="rId136" Type="http://schemas.openxmlformats.org/officeDocument/2006/relationships/hyperlink" Target="mailto:pauline.seiter@institutimagine.org" TargetMode="External"/><Relationship Id="rId343" Type="http://schemas.openxmlformats.org/officeDocument/2006/relationships/hyperlink" Target="mailto:marie.de-bazelaire@institutimagine.org" TargetMode="External"/><Relationship Id="rId550" Type="http://schemas.openxmlformats.org/officeDocument/2006/relationships/hyperlink" Target="mailto:emmanuel.martin@inserm.fr" TargetMode="External"/><Relationship Id="rId788" Type="http://schemas.openxmlformats.org/officeDocument/2006/relationships/hyperlink" Target="mailto:brieuc.perot@institutimagine.org" TargetMode="External"/><Relationship Id="rId995" Type="http://schemas.openxmlformats.org/officeDocument/2006/relationships/hyperlink" Target="mailto:jordane.galera@institutimagine.org" TargetMode="External"/><Relationship Id="rId1180" Type="http://schemas.openxmlformats.org/officeDocument/2006/relationships/hyperlink" Target="mailto:cyrielle.valet@institutimagine.org" TargetMode="External"/><Relationship Id="rId203" Type="http://schemas.openxmlformats.org/officeDocument/2006/relationships/hyperlink" Target="mailto:christelle.lenoir@inserm.fr" TargetMode="External"/><Relationship Id="rId648" Type="http://schemas.openxmlformats.org/officeDocument/2006/relationships/hyperlink" Target="mailto:serge.romana@aphp.fr" TargetMode="External"/><Relationship Id="rId855" Type="http://schemas.openxmlformats.org/officeDocument/2006/relationships/hyperlink" Target="mailto:ida.zahui@institutimagine.org" TargetMode="External"/><Relationship Id="rId1040" Type="http://schemas.openxmlformats.org/officeDocument/2006/relationships/hyperlink" Target="mailto:frederic.rieux-laucat@inserm.fr" TargetMode="External"/><Relationship Id="rId287" Type="http://schemas.openxmlformats.org/officeDocument/2006/relationships/hyperlink" Target="mailto:pauline.seiter@institutimagine.org" TargetMode="External"/><Relationship Id="rId410" Type="http://schemas.openxmlformats.org/officeDocument/2006/relationships/hyperlink" Target="mailto:anne.lenoir@institutimagine.org" TargetMode="External"/><Relationship Id="rId494" Type="http://schemas.openxmlformats.org/officeDocument/2006/relationships/hyperlink" Target="mailto:nathalie.borel@institutimagine.org" TargetMode="External"/><Relationship Id="rId508" Type="http://schemas.openxmlformats.org/officeDocument/2006/relationships/hyperlink" Target="mailto:jennifer.sannegond@institutimagine.org" TargetMode="External"/><Relationship Id="rId715" Type="http://schemas.openxmlformats.org/officeDocument/2006/relationships/hyperlink" Target="mailto:af.collange@gmail.com" TargetMode="External"/><Relationship Id="rId922" Type="http://schemas.openxmlformats.org/officeDocument/2006/relationships/hyperlink" Target="mailto:charlotte.benhaim-durin@institutimagine.org" TargetMode="External"/><Relationship Id="rId1138" Type="http://schemas.openxmlformats.org/officeDocument/2006/relationships/hyperlink" Target="mailto:assoyrii@gmail.com" TargetMode="External"/><Relationship Id="rId147" Type="http://schemas.openxmlformats.org/officeDocument/2006/relationships/hyperlink" Target="mailto:president@amps-asso.org" TargetMode="External"/><Relationship Id="rId354" Type="http://schemas.openxmlformats.org/officeDocument/2006/relationships/hyperlink" Target="mailto:amandine.viau@inserm.fr" TargetMode="External"/><Relationship Id="rId799" Type="http://schemas.openxmlformats.org/officeDocument/2006/relationships/hyperlink" Target="mailto:louise.cheneau@institutimagine.org" TargetMode="External"/><Relationship Id="rId1191" Type="http://schemas.openxmlformats.org/officeDocument/2006/relationships/hyperlink" Target="mailto:yohane.mateus@institutimagine.org" TargetMode="External"/><Relationship Id="rId1205" Type="http://schemas.openxmlformats.org/officeDocument/2006/relationships/hyperlink" Target="mailto:charlotte.benhaim-durin@institutimagine.org" TargetMode="External"/><Relationship Id="rId51" Type="http://schemas.openxmlformats.org/officeDocument/2006/relationships/hyperlink" Target="mailto:assoyrii@gmail.com" TargetMode="External"/><Relationship Id="rId561" Type="http://schemas.openxmlformats.org/officeDocument/2006/relationships/hyperlink" Target="mailto:afida.djabri@aphp.fr" TargetMode="External"/><Relationship Id="rId659" Type="http://schemas.openxmlformats.org/officeDocument/2006/relationships/hyperlink" Target="mailto:vincent.vauchel@sante.gouv.fr" TargetMode="External"/><Relationship Id="rId866" Type="http://schemas.openxmlformats.org/officeDocument/2006/relationships/hyperlink" Target="mailto:leila.guenineche@institutimagine.org" TargetMode="External"/><Relationship Id="rId214" Type="http://schemas.openxmlformats.org/officeDocument/2006/relationships/hyperlink" Target="mailto:helene.chautard@institutimagine.org" TargetMode="External"/><Relationship Id="rId298" Type="http://schemas.openxmlformats.org/officeDocument/2006/relationships/hyperlink" Target="mailto:pauline.canevet@institutimagine.org" TargetMode="External"/><Relationship Id="rId421" Type="http://schemas.openxmlformats.org/officeDocument/2006/relationships/hyperlink" Target="mailto:leila.guenineche@institutimagine.org" TargetMode="External"/><Relationship Id="rId519" Type="http://schemas.openxmlformats.org/officeDocument/2006/relationships/hyperlink" Target="mailto:leila.guenineche@institutimagine.org" TargetMode="External"/><Relationship Id="rId1051" Type="http://schemas.openxmlformats.org/officeDocument/2006/relationships/hyperlink" Target="mailto:severine.delalande@institutimagine.org" TargetMode="External"/><Relationship Id="rId1149" Type="http://schemas.openxmlformats.org/officeDocument/2006/relationships/hyperlink" Target="mailto:naomi.arnaudin@institutimagine.org" TargetMode="External"/><Relationship Id="rId158" Type="http://schemas.openxmlformats.org/officeDocument/2006/relationships/hyperlink" Target="mailto:anne-florence.collange@gmail.com" TargetMode="External"/><Relationship Id="rId726" Type="http://schemas.openxmlformats.org/officeDocument/2006/relationships/hyperlink" Target="mailto:isild.moreau@croix-rouge.fr" TargetMode="External"/><Relationship Id="rId933" Type="http://schemas.openxmlformats.org/officeDocument/2006/relationships/hyperlink" Target="mailto:severine.delalande@institutimagine.org" TargetMode="External"/><Relationship Id="rId1009" Type="http://schemas.openxmlformats.org/officeDocument/2006/relationships/hyperlink" Target="mailto:leila.guenineche@institutimagine.org" TargetMode="External"/><Relationship Id="rId62" Type="http://schemas.openxmlformats.org/officeDocument/2006/relationships/hyperlink" Target="mailto:rebecca.gene@aphp.fr" TargetMode="External"/><Relationship Id="rId365" Type="http://schemas.openxmlformats.org/officeDocument/2006/relationships/hyperlink" Target="mailto:pauline.seiter@institutimagine.org" TargetMode="External"/><Relationship Id="rId572" Type="http://schemas.openxmlformats.org/officeDocument/2006/relationships/hyperlink" Target="mailto:nathalie.borel@institutimagine.org" TargetMode="External"/><Relationship Id="rId225" Type="http://schemas.openxmlformats.org/officeDocument/2006/relationships/hyperlink" Target="mailto:marianne.barthomier@institutimagine.org" TargetMode="External"/><Relationship Id="rId432" Type="http://schemas.openxmlformats.org/officeDocument/2006/relationships/hyperlink" Target="mailto:Stephanie.Lefevre@ligue-cancer.net" TargetMode="External"/><Relationship Id="rId877" Type="http://schemas.openxmlformats.org/officeDocument/2006/relationships/hyperlink" Target="mailto:annie.benbaruch@institutimagine.org" TargetMode="External"/><Relationship Id="rId1062" Type="http://schemas.openxmlformats.org/officeDocument/2006/relationships/hyperlink" Target="mailto:ambroise.leleve@institutimagine.org" TargetMode="External"/><Relationship Id="rId737" Type="http://schemas.openxmlformats.org/officeDocument/2006/relationships/hyperlink" Target="mailto:rana@parsebiosciences.com" TargetMode="External"/><Relationship Id="rId944" Type="http://schemas.openxmlformats.org/officeDocument/2006/relationships/hyperlink" Target="mailto:judith.halewa@institutimagine.org" TargetMode="External"/><Relationship Id="rId73" Type="http://schemas.openxmlformats.org/officeDocument/2006/relationships/hyperlink" Target="mailto:blanca.rojo-guyon@institutimagine.org" TargetMode="External"/><Relationship Id="rId169" Type="http://schemas.openxmlformats.org/officeDocument/2006/relationships/hyperlink" Target="mailto:lia.domingues@institutimagine.org" TargetMode="External"/><Relationship Id="rId376" Type="http://schemas.openxmlformats.org/officeDocument/2006/relationships/hyperlink" Target="mailto:julia.pernet@institutimagine.org" TargetMode="External"/><Relationship Id="rId583" Type="http://schemas.openxmlformats.org/officeDocument/2006/relationships/hyperlink" Target="mailto:cecile.garcin@institutimagine.org" TargetMode="External"/><Relationship Id="rId790" Type="http://schemas.openxmlformats.org/officeDocument/2006/relationships/hyperlink" Target="mailto:laurence.legeai-mallet@inserm.fr" TargetMode="External"/><Relationship Id="rId804" Type="http://schemas.openxmlformats.org/officeDocument/2006/relationships/hyperlink" Target="mailto:marianne.barthomier@institutimagine.org" TargetMode="External"/><Relationship Id="rId4" Type="http://schemas.openxmlformats.org/officeDocument/2006/relationships/hyperlink" Target="mailto:afcollange@gmail.com" TargetMode="External"/><Relationship Id="rId236" Type="http://schemas.openxmlformats.org/officeDocument/2006/relationships/hyperlink" Target="mailto:marianne.barthomier@institutimagine.org" TargetMode="External"/><Relationship Id="rId443" Type="http://schemas.openxmlformats.org/officeDocument/2006/relationships/hyperlink" Target="mailto:juliette.lacronique-gugliermina@aphp.fr" TargetMode="External"/><Relationship Id="rId650" Type="http://schemas.openxmlformats.org/officeDocument/2006/relationships/hyperlink" Target="mailto:hassan.saei@inserm.fr" TargetMode="External"/><Relationship Id="rId888" Type="http://schemas.openxmlformats.org/officeDocument/2006/relationships/hyperlink" Target="mailto:nadia.harrani@aphp.fr" TargetMode="External"/><Relationship Id="rId1073" Type="http://schemas.openxmlformats.org/officeDocument/2006/relationships/hyperlink" Target="mailto:annie.benbaruch@institutimagine.org" TargetMode="External"/><Relationship Id="rId303" Type="http://schemas.openxmlformats.org/officeDocument/2006/relationships/hyperlink" Target="mailto:rima.nabbout@aphp.fr" TargetMode="External"/><Relationship Id="rId748" Type="http://schemas.openxmlformats.org/officeDocument/2006/relationships/hyperlink" Target="mailto:directeur@vml-asso.org" TargetMode="External"/><Relationship Id="rId955" Type="http://schemas.openxmlformats.org/officeDocument/2006/relationships/hyperlink" Target="mailto:naomi.arnaudin@institutimagine.org" TargetMode="External"/><Relationship Id="rId1140" Type="http://schemas.openxmlformats.org/officeDocument/2006/relationships/hyperlink" Target="mailto:leila.guenineche@institutimagine.org" TargetMode="External"/><Relationship Id="rId84" Type="http://schemas.openxmlformats.org/officeDocument/2006/relationships/hyperlink" Target="mailto:amandine.viau@inserm.fr" TargetMode="External"/><Relationship Id="rId387" Type="http://schemas.openxmlformats.org/officeDocument/2006/relationships/hyperlink" Target="mailto:annie.benbaruch@institutimagine.org" TargetMode="External"/><Relationship Id="rId510" Type="http://schemas.openxmlformats.org/officeDocument/2006/relationships/hyperlink" Target="mailto:lilia.ben-slama@aphp.fr" TargetMode="External"/><Relationship Id="rId594" Type="http://schemas.openxmlformats.org/officeDocument/2006/relationships/hyperlink" Target="mailto:pauline.seiter@institutimagine.org" TargetMode="External"/><Relationship Id="rId608" Type="http://schemas.openxmlformats.org/officeDocument/2006/relationships/hyperlink" Target="mailto:gabriel.morin@institutimagine.org" TargetMode="External"/><Relationship Id="rId815" Type="http://schemas.openxmlformats.org/officeDocument/2006/relationships/hyperlink" Target="mailto:maura.samarani@institutimagine.org" TargetMode="External"/><Relationship Id="rId247" Type="http://schemas.openxmlformats.org/officeDocument/2006/relationships/hyperlink" Target="mailto:nadia.harrani@aphp.fr" TargetMode="External"/><Relationship Id="rId899" Type="http://schemas.openxmlformats.org/officeDocument/2006/relationships/hyperlink" Target="mailto:annie.benbaruch@institutimagine.org" TargetMode="External"/><Relationship Id="rId1000" Type="http://schemas.openxmlformats.org/officeDocument/2006/relationships/hyperlink" Target="mailto:laurence.legeai-mallet@inserm.fr" TargetMode="External"/><Relationship Id="rId1084" Type="http://schemas.openxmlformats.org/officeDocument/2006/relationships/hyperlink" Target="mailto:sandrine.delalande@institutimagine.org" TargetMode="External"/><Relationship Id="rId107" Type="http://schemas.openxmlformats.org/officeDocument/2006/relationships/hyperlink" Target="mailto:guillaume.mendon@institutimagine.org" TargetMode="External"/><Relationship Id="rId454" Type="http://schemas.openxmlformats.org/officeDocument/2006/relationships/hyperlink" Target="mailto:annie.benbaruch@institutimagine.org" TargetMode="External"/><Relationship Id="rId661" Type="http://schemas.openxmlformats.org/officeDocument/2006/relationships/hyperlink" Target="mailto:anne.dumaine@institutimagine.org" TargetMode="External"/><Relationship Id="rId759" Type="http://schemas.openxmlformats.org/officeDocument/2006/relationships/hyperlink" Target="mailto:olivier.brissaud@chu-bordeaux.fr" TargetMode="External"/><Relationship Id="rId966" Type="http://schemas.openxmlformats.org/officeDocument/2006/relationships/hyperlink" Target="mailto:assoyrii@gmail.com" TargetMode="External"/><Relationship Id="rId11" Type="http://schemas.openxmlformats.org/officeDocument/2006/relationships/hyperlink" Target="mailto:laurent.mellier@institutimagine.org" TargetMode="External"/><Relationship Id="rId314" Type="http://schemas.openxmlformats.org/officeDocument/2006/relationships/hyperlink" Target="mailto:annie.benbaruch@institutimagine.org" TargetMode="External"/><Relationship Id="rId398" Type="http://schemas.openxmlformats.org/officeDocument/2006/relationships/hyperlink" Target="mailto:stanislas.lyonnet@institutimagine.org" TargetMode="External"/><Relationship Id="rId521" Type="http://schemas.openxmlformats.org/officeDocument/2006/relationships/hyperlink" Target="mailto:cyrielle.valet@institutimagine.org" TargetMode="External"/><Relationship Id="rId619" Type="http://schemas.openxmlformats.org/officeDocument/2006/relationships/hyperlink" Target="mailto:laurence.legeai-mallet@inserm.fr" TargetMode="External"/><Relationship Id="rId1151" Type="http://schemas.openxmlformats.org/officeDocument/2006/relationships/hyperlink" Target="mailto:lilia.ben-slama@aphp.fr" TargetMode="External"/><Relationship Id="rId95" Type="http://schemas.openxmlformats.org/officeDocument/2006/relationships/hyperlink" Target="mailto:pauline.seiter@institutimagine.org" TargetMode="External"/><Relationship Id="rId160" Type="http://schemas.openxmlformats.org/officeDocument/2006/relationships/hyperlink" Target="mailto:patrickguirchoun@gmail.com" TargetMode="External"/><Relationship Id="rId826" Type="http://schemas.openxmlformats.org/officeDocument/2006/relationships/hyperlink" Target="mailto:annie.benbaruch@institutimagine.org" TargetMode="External"/><Relationship Id="rId1011" Type="http://schemas.openxmlformats.org/officeDocument/2006/relationships/hyperlink" Target="mailto:jerome.flatot@institutimagine.org" TargetMode="External"/><Relationship Id="rId1109" Type="http://schemas.openxmlformats.org/officeDocument/2006/relationships/hyperlink" Target="mailto:cyrielle.valet@institutimagine.org" TargetMode="External"/><Relationship Id="rId258" Type="http://schemas.openxmlformats.org/officeDocument/2006/relationships/hyperlink" Target="mailto:zuzanna.andrzejewska@institutimagine.org" TargetMode="External"/><Relationship Id="rId465" Type="http://schemas.openxmlformats.org/officeDocument/2006/relationships/hyperlink" Target="mailto:annie.benbaruch@institutimagine.org" TargetMode="External"/><Relationship Id="rId672" Type="http://schemas.openxmlformats.org/officeDocument/2006/relationships/hyperlink" Target="mailto:corinne.antignac@institutimagine.org" TargetMode="External"/><Relationship Id="rId1095" Type="http://schemas.openxmlformats.org/officeDocument/2006/relationships/hyperlink" Target="mailto:brigitte.bader-meunier@aphp.fr" TargetMode="External"/><Relationship Id="rId22" Type="http://schemas.openxmlformats.org/officeDocument/2006/relationships/hyperlink" Target="mailto:afcollange@gmail.com" TargetMode="External"/><Relationship Id="rId118" Type="http://schemas.openxmlformats.org/officeDocument/2006/relationships/hyperlink" Target="mailto:mayahabbas@hotmail.com" TargetMode="External"/><Relationship Id="rId325" Type="http://schemas.openxmlformats.org/officeDocument/2006/relationships/hyperlink" Target="mailto:ambroise.leleve@institutimagine.org" TargetMode="External"/><Relationship Id="rId532" Type="http://schemas.openxmlformats.org/officeDocument/2006/relationships/hyperlink" Target="mailto:assoyrii@gmail.com" TargetMode="External"/><Relationship Id="rId977" Type="http://schemas.openxmlformats.org/officeDocument/2006/relationships/hyperlink" Target="mailto:nadia.harrani@aphp.fr" TargetMode="External"/><Relationship Id="rId1162" Type="http://schemas.openxmlformats.org/officeDocument/2006/relationships/hyperlink" Target="mailto:yoahne.mateus@institutimagine.org" TargetMode="External"/><Relationship Id="rId171" Type="http://schemas.openxmlformats.org/officeDocument/2006/relationships/hyperlink" Target="mailto:marisa.j.hernandez@bnpparibas" TargetMode="External"/><Relationship Id="rId837" Type="http://schemas.openxmlformats.org/officeDocument/2006/relationships/hyperlink" Target="mailto:bioentrepreneurs@institutimagine.org" TargetMode="External"/><Relationship Id="rId1022" Type="http://schemas.openxmlformats.org/officeDocument/2006/relationships/hyperlink" Target="mailto:wafa.sallem@aphp.fr" TargetMode="External"/><Relationship Id="rId269" Type="http://schemas.openxmlformats.org/officeDocument/2006/relationships/hyperlink" Target="mailto:ambroise.leleve@institutimagine.org" TargetMode="External"/><Relationship Id="rId476" Type="http://schemas.openxmlformats.org/officeDocument/2006/relationships/hyperlink" Target="mailto:megane.brusson@institutimagine.org" TargetMode="External"/><Relationship Id="rId683" Type="http://schemas.openxmlformats.org/officeDocument/2006/relationships/hyperlink" Target="mailto:genevieve.baujat@aphp.fr" TargetMode="External"/><Relationship Id="rId890" Type="http://schemas.openxmlformats.org/officeDocument/2006/relationships/hyperlink" Target="mailto:maura.samarani@institutimagine.org" TargetMode="External"/><Relationship Id="rId904" Type="http://schemas.openxmlformats.org/officeDocument/2006/relationships/hyperlink" Target="mailto:clarisse.elise@aphp.fr" TargetMode="External"/><Relationship Id="rId33" Type="http://schemas.openxmlformats.org/officeDocument/2006/relationships/hyperlink" Target="mailto:assoyrii@gmail.com" TargetMode="External"/><Relationship Id="rId129" Type="http://schemas.openxmlformats.org/officeDocument/2006/relationships/hyperlink" Target="mailto:lilia.ben-slama@aphp.fr" TargetMode="External"/><Relationship Id="rId336" Type="http://schemas.openxmlformats.org/officeDocument/2006/relationships/hyperlink" Target="mailto:anne.lenoir@institutimagine.org" TargetMode="External"/><Relationship Id="rId543" Type="http://schemas.openxmlformats.org/officeDocument/2006/relationships/hyperlink" Target="mailto:jordane.galera@institutimagine.org" TargetMode="External"/><Relationship Id="rId988" Type="http://schemas.openxmlformats.org/officeDocument/2006/relationships/hyperlink" Target="mailto:melinda.dejean@inserm.fr" TargetMode="External"/><Relationship Id="rId1173" Type="http://schemas.openxmlformats.org/officeDocument/2006/relationships/hyperlink" Target="mailto:chloe.barbant@gmail.com" TargetMode="External"/><Relationship Id="rId182" Type="http://schemas.openxmlformats.org/officeDocument/2006/relationships/hyperlink" Target="mailto:pauline.seiter@institutimagine.org" TargetMode="External"/><Relationship Id="rId403" Type="http://schemas.openxmlformats.org/officeDocument/2006/relationships/hyperlink" Target="mailto:thibaut.perchet@institutimagine.org" TargetMode="External"/><Relationship Id="rId750" Type="http://schemas.openxmlformats.org/officeDocument/2006/relationships/hyperlink" Target="mailto:fabienne.charbit-henrion@aphp.fr" TargetMode="External"/><Relationship Id="rId848" Type="http://schemas.openxmlformats.org/officeDocument/2006/relationships/hyperlink" Target="mailto:emmanuelle.jouanguy@institutimagine.org" TargetMode="External"/><Relationship Id="rId1033" Type="http://schemas.openxmlformats.org/officeDocument/2006/relationships/hyperlink" Target="mailto:fabienne.charbit-henrion@aphp.fr" TargetMode="External"/><Relationship Id="rId487" Type="http://schemas.openxmlformats.org/officeDocument/2006/relationships/hyperlink" Target="mailto:geraldine.mollet@inserm.fr" TargetMode="External"/><Relationship Id="rId610" Type="http://schemas.openxmlformats.org/officeDocument/2006/relationships/hyperlink" Target="mailto:marie.de-bazelaire@institutimagine.org" TargetMode="External"/><Relationship Id="rId694" Type="http://schemas.openxmlformats.org/officeDocument/2006/relationships/hyperlink" Target="mailto:julie.tahraoui@institutimagine.org" TargetMode="External"/><Relationship Id="rId708" Type="http://schemas.openxmlformats.org/officeDocument/2006/relationships/hyperlink" Target="mailto:armelle.richiardi@immedica.com" TargetMode="External"/><Relationship Id="rId915" Type="http://schemas.openxmlformats.org/officeDocument/2006/relationships/hyperlink" Target="mailto:annie.benbaruch@institutimagine.org" TargetMode="External"/><Relationship Id="rId347" Type="http://schemas.openxmlformats.org/officeDocument/2006/relationships/hyperlink" Target="mailto:pauline.seiter@institutimagine.org" TargetMode="External"/><Relationship Id="rId999" Type="http://schemas.openxmlformats.org/officeDocument/2006/relationships/hyperlink" Target="mailto:annie.benbaruch@institutimagine.org" TargetMode="External"/><Relationship Id="rId1100" Type="http://schemas.openxmlformats.org/officeDocument/2006/relationships/hyperlink" Target="mailto:fatouma.niakate@institutimagine.org" TargetMode="External"/><Relationship Id="rId1184" Type="http://schemas.openxmlformats.org/officeDocument/2006/relationships/hyperlink" Target="mailto:charlotte.broussard@aphp.fr" TargetMode="External"/><Relationship Id="rId44" Type="http://schemas.openxmlformats.org/officeDocument/2006/relationships/hyperlink" Target="mailto:azza.khemiri@aphp.fr" TargetMode="External"/><Relationship Id="rId554" Type="http://schemas.openxmlformats.org/officeDocument/2006/relationships/hyperlink" Target="mailto:marie.de-bazelaire@institutimagine.org" TargetMode="External"/><Relationship Id="rId761" Type="http://schemas.openxmlformats.org/officeDocument/2006/relationships/hyperlink" Target="mailto:abigail.bejou@institutimagine.org" TargetMode="External"/><Relationship Id="rId859" Type="http://schemas.openxmlformats.org/officeDocument/2006/relationships/hyperlink" Target="mailto:adelaide.ferment@inserm.fr" TargetMode="External"/><Relationship Id="rId193" Type="http://schemas.openxmlformats.org/officeDocument/2006/relationships/hyperlink" Target="mailto:edor.kabashi@institutimagine.org" TargetMode="External"/><Relationship Id="rId207" Type="http://schemas.openxmlformats.org/officeDocument/2006/relationships/hyperlink" Target="mailto:marie.de-bazelaire@institutimagine.org" TargetMode="External"/><Relationship Id="rId414" Type="http://schemas.openxmlformats.org/officeDocument/2006/relationships/hyperlink" Target="mailto:maura.samarani@institutimagine.org" TargetMode="External"/><Relationship Id="rId498" Type="http://schemas.openxmlformats.org/officeDocument/2006/relationships/hyperlink" Target="mailto:marie.de-bazelaire@institutimagine.org" TargetMode="External"/><Relationship Id="rId621" Type="http://schemas.openxmlformats.org/officeDocument/2006/relationships/hyperlink" Target="mailto:dominique.bremond@aphp.fr" TargetMode="External"/><Relationship Id="rId1044" Type="http://schemas.openxmlformats.org/officeDocument/2006/relationships/hyperlink" Target="mailto:leila.guenineche@institutimagine.org" TargetMode="External"/><Relationship Id="rId260" Type="http://schemas.openxmlformats.org/officeDocument/2006/relationships/hyperlink" Target="mailto:angelique.gaba@aphp.fr" TargetMode="External"/><Relationship Id="rId719" Type="http://schemas.openxmlformats.org/officeDocument/2006/relationships/hyperlink" Target="mailto:lydie.billet@comite-ethique.fr" TargetMode="External"/><Relationship Id="rId926" Type="http://schemas.openxmlformats.org/officeDocument/2006/relationships/hyperlink" Target="mailto:brigitte.bader-meunier@aphp.fr" TargetMode="External"/><Relationship Id="rId1111" Type="http://schemas.openxmlformats.org/officeDocument/2006/relationships/hyperlink" Target="mailto:fanny.rollin@aphp.fr" TargetMode="External"/><Relationship Id="rId55" Type="http://schemas.openxmlformats.org/officeDocument/2006/relationships/hyperlink" Target="mailto:natacha.flaih@ligue-cancer.net" TargetMode="External"/><Relationship Id="rId120" Type="http://schemas.openxmlformats.org/officeDocument/2006/relationships/hyperlink" Target="mailto:tiphaine.piron@aphp.fr" TargetMode="External"/><Relationship Id="rId358" Type="http://schemas.openxmlformats.org/officeDocument/2006/relationships/hyperlink" Target="mailto:annie.benbaruch@institutimagine.org" TargetMode="External"/><Relationship Id="rId565" Type="http://schemas.openxmlformats.org/officeDocument/2006/relationships/hyperlink" Target="mailto:edwige.devaux@aphp.fr" TargetMode="External"/><Relationship Id="rId772" Type="http://schemas.openxmlformats.org/officeDocument/2006/relationships/hyperlink" Target="mailto:charlotte.benhaim-durin@institutimagine.org" TargetMode="External"/><Relationship Id="rId1195" Type="http://schemas.openxmlformats.org/officeDocument/2006/relationships/hyperlink" Target="mailto:christine.bodemer@aphp.fr" TargetMode="External"/><Relationship Id="rId1209" Type="http://schemas.openxmlformats.org/officeDocument/2006/relationships/hyperlink" Target="mailto:clement.conil@institutimagine.org" TargetMode="External"/><Relationship Id="rId218" Type="http://schemas.openxmlformats.org/officeDocument/2006/relationships/hyperlink" Target="mailto:laure.boquet@institutimagine.org" TargetMode="External"/><Relationship Id="rId425" Type="http://schemas.openxmlformats.org/officeDocument/2006/relationships/hyperlink" Target="mailto:sandra.colas@aphp.fr" TargetMode="External"/><Relationship Id="rId632" Type="http://schemas.openxmlformats.org/officeDocument/2006/relationships/hyperlink" Target="mailto:anne.chalumeau@institutimagine.org" TargetMode="External"/><Relationship Id="rId1055" Type="http://schemas.openxmlformats.org/officeDocument/2006/relationships/hyperlink" Target="mailto:julie.tahraoui@institutimagine.org" TargetMode="External"/><Relationship Id="rId271" Type="http://schemas.openxmlformats.org/officeDocument/2006/relationships/hyperlink" Target="mailto:com@institutimagine.org" TargetMode="External"/><Relationship Id="rId937" Type="http://schemas.openxmlformats.org/officeDocument/2006/relationships/hyperlink" Target="mailto:severine.delalande@institutimagine.org" TargetMode="External"/><Relationship Id="rId1122" Type="http://schemas.openxmlformats.org/officeDocument/2006/relationships/hyperlink" Target="mailto:christine.bodemer@aphp.fr" TargetMode="External"/><Relationship Id="rId66" Type="http://schemas.openxmlformats.org/officeDocument/2006/relationships/hyperlink" Target="mailto:wassa.kanoute@aphp.fr" TargetMode="External"/><Relationship Id="rId131" Type="http://schemas.openxmlformats.org/officeDocument/2006/relationships/hyperlink" Target="mailto:contact@jbcneckerpasteur.fr" TargetMode="External"/><Relationship Id="rId369" Type="http://schemas.openxmlformats.org/officeDocument/2006/relationships/hyperlink" Target="mailto:marie.de-bazelaire@institutimagine.org" TargetMode="External"/><Relationship Id="rId576" Type="http://schemas.openxmlformats.org/officeDocument/2006/relationships/hyperlink" Target="mailto:marie.de-bazelaire@institutimagine.org" TargetMode="External"/><Relationship Id="rId783" Type="http://schemas.openxmlformats.org/officeDocument/2006/relationships/hyperlink" Target="mailto:adelaide.ferment@inserm.fr" TargetMode="External"/><Relationship Id="rId990" Type="http://schemas.openxmlformats.org/officeDocument/2006/relationships/hyperlink" Target="mailto:annie.benbaruch@institutimagine.org" TargetMode="External"/><Relationship Id="rId229" Type="http://schemas.openxmlformats.org/officeDocument/2006/relationships/hyperlink" Target="mailto:bernadette.chaisemartin@orange.fr" TargetMode="External"/><Relationship Id="rId436" Type="http://schemas.openxmlformats.org/officeDocument/2006/relationships/hyperlink" Target="mailto:paula.santabarbara-ruiz@institutimagine.org" TargetMode="External"/><Relationship Id="rId643" Type="http://schemas.openxmlformats.org/officeDocument/2006/relationships/hyperlink" Target="mailto:cyrielle.valet@institutimagine.org" TargetMode="External"/><Relationship Id="rId1066" Type="http://schemas.openxmlformats.org/officeDocument/2006/relationships/hyperlink" Target="mailto:ambroise.leleve@institutimagine.org" TargetMode="External"/><Relationship Id="rId850" Type="http://schemas.openxmlformats.org/officeDocument/2006/relationships/hyperlink" Target="mailto:pierre-hassim.malbec@institutimagine.org" TargetMode="External"/><Relationship Id="rId948" Type="http://schemas.openxmlformats.org/officeDocument/2006/relationships/hyperlink" Target="mailto:cyrielle.valet@institutimagine.org" TargetMode="External"/><Relationship Id="rId1133" Type="http://schemas.openxmlformats.org/officeDocument/2006/relationships/hyperlink" Target="mailto:mylene.tewtel@institutimagine.org" TargetMode="External"/><Relationship Id="rId77" Type="http://schemas.openxmlformats.org/officeDocument/2006/relationships/hyperlink" Target="mailto:julien.husson@institutimagine.org" TargetMode="External"/><Relationship Id="rId282" Type="http://schemas.openxmlformats.org/officeDocument/2006/relationships/hyperlink" Target="mailto:pauline.seiter@institutimagine.org" TargetMode="External"/><Relationship Id="rId503" Type="http://schemas.openxmlformats.org/officeDocument/2006/relationships/hyperlink" Target="mailto:pauline.canevet@institutimagine.org" TargetMode="External"/><Relationship Id="rId587" Type="http://schemas.openxmlformats.org/officeDocument/2006/relationships/hyperlink" Target="mailto:fanny.gayda@institutimagine.org" TargetMode="External"/><Relationship Id="rId710" Type="http://schemas.openxmlformats.org/officeDocument/2006/relationships/hyperlink" Target="mailto:sandra.wurtz@bnpparibas.com" TargetMode="External"/><Relationship Id="rId808" Type="http://schemas.openxmlformats.org/officeDocument/2006/relationships/hyperlink" Target="mailto:maura.samarani@institutimagine.org" TargetMode="External"/><Relationship Id="rId8" Type="http://schemas.openxmlformats.org/officeDocument/2006/relationships/hyperlink" Target="mailto:djenaba.bamba@dessinemoiunmouton.org" TargetMode="External"/><Relationship Id="rId142" Type="http://schemas.openxmlformats.org/officeDocument/2006/relationships/hyperlink" Target="mailto:blanca.rojo-guyon@institutimagine.org" TargetMode="External"/><Relationship Id="rId447" Type="http://schemas.openxmlformats.org/officeDocument/2006/relationships/hyperlink" Target="mailto:anne-marie.fraynal@institutimagine.org" TargetMode="External"/><Relationship Id="rId794" Type="http://schemas.openxmlformats.org/officeDocument/2006/relationships/hyperlink" Target="mailto:maura.samarani@institutimagine.org" TargetMode="External"/><Relationship Id="rId1077" Type="http://schemas.openxmlformats.org/officeDocument/2006/relationships/hyperlink" Target="mailto:fatouma.niakate@institutimagine.org" TargetMode="External"/><Relationship Id="rId1200" Type="http://schemas.openxmlformats.org/officeDocument/2006/relationships/hyperlink" Target="mailto:maura.samarani@institutimagine.org" TargetMode="External"/><Relationship Id="rId654" Type="http://schemas.openxmlformats.org/officeDocument/2006/relationships/hyperlink" Target="mailto:lea.salesse@institutimagine.org" TargetMode="External"/><Relationship Id="rId861" Type="http://schemas.openxmlformats.org/officeDocument/2006/relationships/hyperlink" Target="mailto:molka.oueslati@aphp.fr" TargetMode="External"/><Relationship Id="rId959" Type="http://schemas.openxmlformats.org/officeDocument/2006/relationships/hyperlink" Target="mailto:pierre-hassim.malbec@institutimagine.org" TargetMode="External"/><Relationship Id="rId293" Type="http://schemas.openxmlformats.org/officeDocument/2006/relationships/hyperlink" Target="mailto:pauline.seiter@institutimagine.org" TargetMode="External"/><Relationship Id="rId307" Type="http://schemas.openxmlformats.org/officeDocument/2006/relationships/hyperlink" Target="mailto:marie.de-bazelaire@institutimagine.org" TargetMode="External"/><Relationship Id="rId514" Type="http://schemas.openxmlformats.org/officeDocument/2006/relationships/hyperlink" Target="mailto:assoyrii@gmail.com" TargetMode="External"/><Relationship Id="rId721" Type="http://schemas.openxmlformats.org/officeDocument/2006/relationships/hyperlink" Target="mailto:Thomasedmonds78@gmail.com" TargetMode="External"/><Relationship Id="rId1144" Type="http://schemas.openxmlformats.org/officeDocument/2006/relationships/hyperlink" Target="mailto:pierre.duquesne@institutimagine.org" TargetMode="External"/><Relationship Id="rId88" Type="http://schemas.openxmlformats.org/officeDocument/2006/relationships/hyperlink" Target="mailto:blanca.rojo-guyon@institutimagine.org" TargetMode="External"/><Relationship Id="rId153" Type="http://schemas.openxmlformats.org/officeDocument/2006/relationships/hyperlink" Target="mailto:melanie.var@inserm" TargetMode="External"/><Relationship Id="rId360" Type="http://schemas.openxmlformats.org/officeDocument/2006/relationships/hyperlink" Target="mailto:marine.novell@institutimagine.org" TargetMode="External"/><Relationship Id="rId598" Type="http://schemas.openxmlformats.org/officeDocument/2006/relationships/hyperlink" Target="mailto:maura.samarani@institutimagine.org" TargetMode="External"/><Relationship Id="rId819" Type="http://schemas.openxmlformats.org/officeDocument/2006/relationships/hyperlink" Target="mailto:bioentrepreneurs@institutimagine.org" TargetMode="External"/><Relationship Id="rId1004" Type="http://schemas.openxmlformats.org/officeDocument/2006/relationships/hyperlink" Target="mailto:annie.benbaruch@institutimagine.org" TargetMode="External"/><Relationship Id="rId1211" Type="http://schemas.openxmlformats.org/officeDocument/2006/relationships/drawing" Target="../drawings/drawing1.xml"/><Relationship Id="rId220" Type="http://schemas.openxmlformats.org/officeDocument/2006/relationships/hyperlink" Target="mailto:giorgia.sebregondi@cognacq-jay.fr" TargetMode="External"/><Relationship Id="rId458" Type="http://schemas.openxmlformats.org/officeDocument/2006/relationships/hyperlink" Target="mailto:marie.de-bazelaire@institutimagine.org" TargetMode="External"/><Relationship Id="rId665" Type="http://schemas.openxmlformats.org/officeDocument/2006/relationships/hyperlink" Target="mailto:vincent.abramowski@inserm.fr" TargetMode="External"/><Relationship Id="rId872" Type="http://schemas.openxmlformats.org/officeDocument/2006/relationships/hyperlink" Target="mailto:angelique.gaba@aphp.fr" TargetMode="External"/><Relationship Id="rId1088" Type="http://schemas.openxmlformats.org/officeDocument/2006/relationships/hyperlink" Target="mailto:annie.benbaruch@institutimagine.org" TargetMode="External"/><Relationship Id="rId15" Type="http://schemas.openxmlformats.org/officeDocument/2006/relationships/hyperlink" Target="mailto:wassa.kanoute@aphp.fr" TargetMode="External"/><Relationship Id="rId318" Type="http://schemas.openxmlformats.org/officeDocument/2006/relationships/hyperlink" Target="mailto:maura.samarani@institutimagine.org" TargetMode="External"/><Relationship Id="rId525" Type="http://schemas.openxmlformats.org/officeDocument/2006/relationships/hyperlink" Target="mailto:thibaut.perchet@institutimagine.org" TargetMode="External"/><Relationship Id="rId732" Type="http://schemas.openxmlformats.org/officeDocument/2006/relationships/hyperlink" Target="mailto:benoit.blanchet@aphp.fr" TargetMode="External"/><Relationship Id="rId1155" Type="http://schemas.openxmlformats.org/officeDocument/2006/relationships/hyperlink" Target="mailto:maura.samarani@institutimagine.org" TargetMode="External"/><Relationship Id="rId99" Type="http://schemas.openxmlformats.org/officeDocument/2006/relationships/hyperlink" Target="mailto:pauline.seiter@institutimagine.org" TargetMode="External"/><Relationship Id="rId164" Type="http://schemas.openxmlformats.org/officeDocument/2006/relationships/hyperlink" Target="mailto:maura.samarani@institutimagine.org" TargetMode="External"/><Relationship Id="rId371" Type="http://schemas.openxmlformats.org/officeDocument/2006/relationships/hyperlink" Target="mailto:paula.santabarbara-ruiz@institutimagine.org" TargetMode="External"/><Relationship Id="rId1015" Type="http://schemas.openxmlformats.org/officeDocument/2006/relationships/hyperlink" Target="mailto:stanislas.lyonnet@institutimagine.org" TargetMode="External"/><Relationship Id="rId469" Type="http://schemas.openxmlformats.org/officeDocument/2006/relationships/hyperlink" Target="mailto:marie.de-bazelaire@institutimagine.org" TargetMode="External"/><Relationship Id="rId676" Type="http://schemas.openxmlformats.org/officeDocument/2006/relationships/hyperlink" Target="mailto:julia.pernet@institutimagine.org" TargetMode="External"/><Relationship Id="rId883" Type="http://schemas.openxmlformats.org/officeDocument/2006/relationships/hyperlink" Target="mailto:bioentrepreneurs@institutimagine.org" TargetMode="External"/><Relationship Id="rId1099" Type="http://schemas.openxmlformats.org/officeDocument/2006/relationships/hyperlink" Target="mailto:ambroise.leleve@institutimagine.org" TargetMode="External"/><Relationship Id="rId26" Type="http://schemas.openxmlformats.org/officeDocument/2006/relationships/hyperlink" Target="mailto:djenaba.bamba@dessinemoiunmouton.org" TargetMode="External"/><Relationship Id="rId231" Type="http://schemas.openxmlformats.org/officeDocument/2006/relationships/hyperlink" Target="mailto:julia.pernet@institutimagine.org" TargetMode="External"/><Relationship Id="rId329" Type="http://schemas.openxmlformats.org/officeDocument/2006/relationships/hyperlink" Target="mailto:pauline.canevet@institutimagine.org" TargetMode="External"/><Relationship Id="rId536" Type="http://schemas.openxmlformats.org/officeDocument/2006/relationships/hyperlink" Target="mailto:annie.benbaruch@institutimagine.org" TargetMode="External"/><Relationship Id="rId1166" Type="http://schemas.openxmlformats.org/officeDocument/2006/relationships/hyperlink" Target="mailto:naomi.arnaudin@institutimagine.org" TargetMode="External"/><Relationship Id="rId175" Type="http://schemas.openxmlformats.org/officeDocument/2006/relationships/hyperlink" Target="mailto:maura.samarani@institutimagine.org" TargetMode="External"/><Relationship Id="rId743" Type="http://schemas.openxmlformats.org/officeDocument/2006/relationships/hyperlink" Target="mailto:amwilmotte@gmail.com" TargetMode="External"/><Relationship Id="rId950" Type="http://schemas.openxmlformats.org/officeDocument/2006/relationships/hyperlink" Target="mailto:julie.tahraoui@institutimagine.org" TargetMode="External"/><Relationship Id="rId1026" Type="http://schemas.openxmlformats.org/officeDocument/2006/relationships/hyperlink" Target="mailto:maura.samarani@institutimagine.org" TargetMode="External"/><Relationship Id="rId382" Type="http://schemas.openxmlformats.org/officeDocument/2006/relationships/hyperlink" Target="mailto:marie.de-bazelaire@institutimagine.org" TargetMode="External"/><Relationship Id="rId603" Type="http://schemas.openxmlformats.org/officeDocument/2006/relationships/hyperlink" Target="mailto:coordination@ern-skin.eu" TargetMode="External"/><Relationship Id="rId687" Type="http://schemas.openxmlformats.org/officeDocument/2006/relationships/hyperlink" Target="mailto:letizia.fontana@institutimagine.org" TargetMode="External"/><Relationship Id="rId810" Type="http://schemas.openxmlformats.org/officeDocument/2006/relationships/hyperlink" Target="mailto:annie.benbaruch@institutimagine.org" TargetMode="External"/><Relationship Id="rId908" Type="http://schemas.openxmlformats.org/officeDocument/2006/relationships/hyperlink" Target="mailto:annie.benbaruch@institutimagine.org" TargetMode="External"/><Relationship Id="rId242" Type="http://schemas.openxmlformats.org/officeDocument/2006/relationships/hyperlink" Target="mailto:gabriel.morin@institutimagine.org" TargetMode="External"/><Relationship Id="rId894" Type="http://schemas.openxmlformats.org/officeDocument/2006/relationships/hyperlink" Target="mailto:maud.de-dieuleveult@inserm.fr" TargetMode="External"/><Relationship Id="rId1177" Type="http://schemas.openxmlformats.org/officeDocument/2006/relationships/hyperlink" Target="mailto:zoeline.mars@institutimagine.org" TargetMode="External"/><Relationship Id="rId37" Type="http://schemas.openxmlformats.org/officeDocument/2006/relationships/hyperlink" Target="mailto:michele.thomas3@orange.fr" TargetMode="External"/><Relationship Id="rId102" Type="http://schemas.openxmlformats.org/officeDocument/2006/relationships/hyperlink" Target="mailto:renan.oliveira-correa@institutimagine.org" TargetMode="External"/><Relationship Id="rId547" Type="http://schemas.openxmlformats.org/officeDocument/2006/relationships/hyperlink" Target="mailto:maura.samarani@institutimagine.org" TargetMode="External"/><Relationship Id="rId754" Type="http://schemas.openxmlformats.org/officeDocument/2006/relationships/hyperlink" Target="mailto:charlotte.benhaim-durin@institutimagine.org" TargetMode="External"/><Relationship Id="rId961" Type="http://schemas.openxmlformats.org/officeDocument/2006/relationships/hyperlink" Target="mailto:laurence.legeai-mallet@inserm.fr" TargetMode="External"/><Relationship Id="rId90" Type="http://schemas.openxmlformats.org/officeDocument/2006/relationships/hyperlink" Target="mailto:maura.samarani@institutimagine.org" TargetMode="External"/><Relationship Id="rId186" Type="http://schemas.openxmlformats.org/officeDocument/2006/relationships/hyperlink" Target="mailto:c&#233;cile.bureau@institutimagine.org" TargetMode="External"/><Relationship Id="rId393" Type="http://schemas.openxmlformats.org/officeDocument/2006/relationships/hyperlink" Target="mailto:leila.guenineche@institutimagine.org" TargetMode="External"/><Relationship Id="rId407" Type="http://schemas.openxmlformats.org/officeDocument/2006/relationships/hyperlink" Target="mailto:nathalie.borel@institutimagine.org" TargetMode="External"/><Relationship Id="rId614" Type="http://schemas.openxmlformats.org/officeDocument/2006/relationships/hyperlink" Target="mailto:jennifer.sannegond@institutimagine.org" TargetMode="External"/><Relationship Id="rId821" Type="http://schemas.openxmlformats.org/officeDocument/2006/relationships/hyperlink" Target="mailto:jennifer.sannegond@institutimagine.org" TargetMode="External"/><Relationship Id="rId1037" Type="http://schemas.openxmlformats.org/officeDocument/2006/relationships/hyperlink" Target="mailto:laurence.legeai-mallet@inserm.fr" TargetMode="External"/><Relationship Id="rId253" Type="http://schemas.openxmlformats.org/officeDocument/2006/relationships/hyperlink" Target="mailto:ESPACES@Imagine%20:%20Restitutions%20GU" TargetMode="External"/><Relationship Id="rId460" Type="http://schemas.openxmlformats.org/officeDocument/2006/relationships/hyperlink" Target="mailto:annie.benbaruch@institutimagine.org" TargetMode="External"/><Relationship Id="rId698" Type="http://schemas.openxmlformats.org/officeDocument/2006/relationships/hyperlink" Target="mailto:sophie.le-mottais@aphp.fr" TargetMode="External"/><Relationship Id="rId919" Type="http://schemas.openxmlformats.org/officeDocument/2006/relationships/hyperlink" Target="mailto:charlotte.benhaim-durin@institutimagine.org" TargetMode="External"/><Relationship Id="rId1090" Type="http://schemas.openxmlformats.org/officeDocument/2006/relationships/hyperlink" Target="mailto:christine.bodemer@aphp.fr" TargetMode="External"/><Relationship Id="rId1104" Type="http://schemas.openxmlformats.org/officeDocument/2006/relationships/hyperlink" Target="mailto:ambroise.leleve@institutimagine.org" TargetMode="External"/><Relationship Id="rId48" Type="http://schemas.openxmlformats.org/officeDocument/2006/relationships/hyperlink" Target="mailto:orianne.wagnerballon@aphp.fr" TargetMode="External"/><Relationship Id="rId113" Type="http://schemas.openxmlformats.org/officeDocument/2006/relationships/hyperlink" Target="mailto:marie-louise.fremond@aphp.fr" TargetMode="External"/><Relationship Id="rId320" Type="http://schemas.openxmlformats.org/officeDocument/2006/relationships/hyperlink" Target="mailto:maura.samarani@institutimagine.org" TargetMode="External"/><Relationship Id="rId558" Type="http://schemas.openxmlformats.org/officeDocument/2006/relationships/hyperlink" Target="mailto:jennifer.sannegond@institutimagine.org" TargetMode="External"/><Relationship Id="rId765" Type="http://schemas.openxmlformats.org/officeDocument/2006/relationships/hyperlink" Target="mailto:mylene.tewtel@institutimagine.org" TargetMode="External"/><Relationship Id="rId972" Type="http://schemas.openxmlformats.org/officeDocument/2006/relationships/hyperlink" Target="mailto:isabelle.hascoet2@aphp.fr" TargetMode="External"/><Relationship Id="rId1188" Type="http://schemas.openxmlformats.org/officeDocument/2006/relationships/hyperlink" Target="mailto:andrei.kiselev@institutimagine.org" TargetMode="External"/><Relationship Id="rId197" Type="http://schemas.openxmlformats.org/officeDocument/2006/relationships/hyperlink" Target="mailto:blanca.rojo-guyon@institutimagine.org" TargetMode="External"/><Relationship Id="rId418" Type="http://schemas.openxmlformats.org/officeDocument/2006/relationships/hyperlink" Target="mailto:annie.benbaruch@institutimagine.org" TargetMode="External"/><Relationship Id="rId625" Type="http://schemas.openxmlformats.org/officeDocument/2006/relationships/hyperlink" Target="mailto:maura.samarani@institutimagine.org" TargetMode="External"/><Relationship Id="rId832" Type="http://schemas.openxmlformats.org/officeDocument/2006/relationships/hyperlink" Target="mailto:charlotte.benhaim-durin@institutimagine.org" TargetMode="External"/><Relationship Id="rId1048" Type="http://schemas.openxmlformats.org/officeDocument/2006/relationships/hyperlink" Target="mailto:anne-florence.collange@inserm.fr" TargetMode="External"/><Relationship Id="rId264" Type="http://schemas.openxmlformats.org/officeDocument/2006/relationships/hyperlink" Target="mailto:anne.lenoir@institutimagine.org" TargetMode="External"/><Relationship Id="rId471" Type="http://schemas.openxmlformats.org/officeDocument/2006/relationships/hyperlink" Target="mailto:annarita.miccio@institutimagine.org" TargetMode="External"/><Relationship Id="rId1115" Type="http://schemas.openxmlformats.org/officeDocument/2006/relationships/hyperlink" Target="mailto:cyrielle.valet@institutimagine.org" TargetMode="External"/><Relationship Id="rId59" Type="http://schemas.openxmlformats.org/officeDocument/2006/relationships/hyperlink" Target="mailto:genevieve.baujat@aphp.fr" TargetMode="External"/><Relationship Id="rId124" Type="http://schemas.openxmlformats.org/officeDocument/2006/relationships/hyperlink" Target="mailto:marie-anne.rey-cuille@inserm.fr" TargetMode="External"/><Relationship Id="rId569" Type="http://schemas.openxmlformats.org/officeDocument/2006/relationships/hyperlink" Target="mailto:bioentrepreneurs@institutimagine.org" TargetMode="External"/><Relationship Id="rId776" Type="http://schemas.openxmlformats.org/officeDocument/2006/relationships/hyperlink" Target="mailto:pauline.seiter@institutimagine.org" TargetMode="External"/><Relationship Id="rId983" Type="http://schemas.openxmlformats.org/officeDocument/2006/relationships/hyperlink" Target="mailto:leila.guenineche@institutimagine.org" TargetMode="External"/><Relationship Id="rId1199" Type="http://schemas.openxmlformats.org/officeDocument/2006/relationships/hyperlink" Target="mailto:emmanuelle.six@inserm.fr" TargetMode="External"/><Relationship Id="rId331" Type="http://schemas.openxmlformats.org/officeDocument/2006/relationships/hyperlink" Target="mailto:pauline.seiter@institutimagine.org" TargetMode="External"/><Relationship Id="rId429" Type="http://schemas.openxmlformats.org/officeDocument/2006/relationships/hyperlink" Target="mailto:nouara.lhocine@institutimagine.org" TargetMode="External"/><Relationship Id="rId636" Type="http://schemas.openxmlformats.org/officeDocument/2006/relationships/hyperlink" Target="mailto:ines.rajbaoui@institutimagine.org" TargetMode="External"/><Relationship Id="rId1059" Type="http://schemas.openxmlformats.org/officeDocument/2006/relationships/hyperlink" Target="mailto:aude.chaboissier@aphp.fr" TargetMode="External"/><Relationship Id="rId843" Type="http://schemas.openxmlformats.org/officeDocument/2006/relationships/hyperlink" Target="mailto:maura.samarani@institutimagine.org" TargetMode="External"/><Relationship Id="rId1126" Type="http://schemas.openxmlformats.org/officeDocument/2006/relationships/hyperlink" Target="mailto:guillaume.huart@institutimagine.org" TargetMode="External"/><Relationship Id="rId275" Type="http://schemas.openxmlformats.org/officeDocument/2006/relationships/hyperlink" Target="mailto:contact@jbcneckerpasteur.fr" TargetMode="External"/><Relationship Id="rId482" Type="http://schemas.openxmlformats.org/officeDocument/2006/relationships/hyperlink" Target="mailto:nathalie.borel@institutimagine.org" TargetMode="External"/><Relationship Id="rId703" Type="http://schemas.openxmlformats.org/officeDocument/2006/relationships/hyperlink" Target="mailto:jeanne.magnan@andcs.org" TargetMode="External"/><Relationship Id="rId910" Type="http://schemas.openxmlformats.org/officeDocument/2006/relationships/hyperlink" Target="mailto:nouara.lhore@institutimagine.org" TargetMode="External"/><Relationship Id="rId135" Type="http://schemas.openxmlformats.org/officeDocument/2006/relationships/hyperlink" Target="mailto:justine.brossard@institutimagine.org" TargetMode="External"/><Relationship Id="rId342" Type="http://schemas.openxmlformats.org/officeDocument/2006/relationships/hyperlink" Target="mailto:marie.de-bazelaire@institutimagine.org" TargetMode="External"/><Relationship Id="rId787" Type="http://schemas.openxmlformats.org/officeDocument/2006/relationships/hyperlink" Target="mailto:jennifer.sannegond@institutimagine.org" TargetMode="External"/><Relationship Id="rId994" Type="http://schemas.openxmlformats.org/officeDocument/2006/relationships/hyperlink" Target="mailto:melissa.cassard@institutimagine.org" TargetMode="External"/><Relationship Id="rId202" Type="http://schemas.openxmlformats.org/officeDocument/2006/relationships/hyperlink" Target="mailto:maura.samarani@institutimagine.org" TargetMode="External"/><Relationship Id="rId647" Type="http://schemas.openxmlformats.org/officeDocument/2006/relationships/hyperlink" Target="mailto:sara.el-hoss@institutimagine.org" TargetMode="External"/><Relationship Id="rId854" Type="http://schemas.openxmlformats.org/officeDocument/2006/relationships/hyperlink" Target="mailto:annie.benbaruch@institutimagine.org" TargetMode="External"/><Relationship Id="rId286" Type="http://schemas.openxmlformats.org/officeDocument/2006/relationships/hyperlink" Target="mailto:annie.benbaruch@institutimagine.org" TargetMode="External"/><Relationship Id="rId493" Type="http://schemas.openxmlformats.org/officeDocument/2006/relationships/hyperlink" Target="mailto:nadia.harrani@aphp.fr" TargetMode="External"/><Relationship Id="rId507" Type="http://schemas.openxmlformats.org/officeDocument/2006/relationships/hyperlink" Target="mailto:virginie.miliere@associationiris.org" TargetMode="External"/><Relationship Id="rId714" Type="http://schemas.openxmlformats.org/officeDocument/2006/relationships/hyperlink" Target="mailto:rebouillat-lesieur@hec.fr" TargetMode="External"/><Relationship Id="rId921" Type="http://schemas.openxmlformats.org/officeDocument/2006/relationships/hyperlink" Target="mailto:cyrielle.valet@institutimagine.org" TargetMode="External"/><Relationship Id="rId1137" Type="http://schemas.openxmlformats.org/officeDocument/2006/relationships/hyperlink" Target="mailto:ambroise.leleve@institutimagine.org" TargetMode="External"/><Relationship Id="rId50" Type="http://schemas.openxmlformats.org/officeDocument/2006/relationships/hyperlink" Target="mailto:djenaba.bamba@dessinemoiunmouton.org" TargetMode="External"/><Relationship Id="rId146" Type="http://schemas.openxmlformats.org/officeDocument/2006/relationships/hyperlink" Target="mailto:lea.dussauge@institutimagine.org" TargetMode="External"/><Relationship Id="rId353" Type="http://schemas.openxmlformats.org/officeDocument/2006/relationships/hyperlink" Target="mailto:alexane.dufay@institutimagine.org" TargetMode="External"/><Relationship Id="rId560" Type="http://schemas.openxmlformats.org/officeDocument/2006/relationships/hyperlink" Target="mailto:marie.de-bazelaire@institutimagine.org" TargetMode="External"/><Relationship Id="rId798" Type="http://schemas.openxmlformats.org/officeDocument/2006/relationships/hyperlink" Target="mailto:pierre-hassim.malbec@institutimagine.org" TargetMode="External"/><Relationship Id="rId1190" Type="http://schemas.openxmlformats.org/officeDocument/2006/relationships/hyperlink" Target="mailto:lola.henry@institutimagine.org" TargetMode="External"/><Relationship Id="rId1204" Type="http://schemas.openxmlformats.org/officeDocument/2006/relationships/hyperlink" Target="mailto:charlotte.benhaim-durin@institutimagine.org" TargetMode="External"/><Relationship Id="rId213" Type="http://schemas.openxmlformats.org/officeDocument/2006/relationships/hyperlink" Target="mailto:marielle.cadieu@aphp.fr" TargetMode="External"/><Relationship Id="rId420" Type="http://schemas.openxmlformats.org/officeDocument/2006/relationships/hyperlink" Target="mailto:laurent.mellier@institutimagine.org" TargetMode="External"/><Relationship Id="rId658" Type="http://schemas.openxmlformats.org/officeDocument/2006/relationships/hyperlink" Target="mailto:nathalie.borel@institutimagine.org" TargetMode="External"/><Relationship Id="rId865" Type="http://schemas.openxmlformats.org/officeDocument/2006/relationships/hyperlink" Target="mailto:annie.benbaruch@institutimagine.org" TargetMode="External"/><Relationship Id="rId1050" Type="http://schemas.openxmlformats.org/officeDocument/2006/relationships/hyperlink" Target="mailto:anne-florence.collange@inserm.fr" TargetMode="External"/><Relationship Id="rId297" Type="http://schemas.openxmlformats.org/officeDocument/2006/relationships/hyperlink" Target="mailto:annie.benbaruch@institutimagine.org" TargetMode="External"/><Relationship Id="rId518" Type="http://schemas.openxmlformats.org/officeDocument/2006/relationships/hyperlink" Target="mailto:abigail.bejou@institutimagine.org" TargetMode="External"/><Relationship Id="rId725" Type="http://schemas.openxmlformats.org/officeDocument/2006/relationships/hyperlink" Target="mailto:david.romano@ap-hm.fr" TargetMode="External"/><Relationship Id="rId932" Type="http://schemas.openxmlformats.org/officeDocument/2006/relationships/hyperlink" Target="mailto:ambroise.leleve@institutimagine.org" TargetMode="External"/><Relationship Id="rId1148" Type="http://schemas.openxmlformats.org/officeDocument/2006/relationships/hyperlink" Target="mailto:naomi.arnaudin@institutimagine.org" TargetMode="External"/><Relationship Id="rId157" Type="http://schemas.openxmlformats.org/officeDocument/2006/relationships/hyperlink" Target="mailto:genevieve.baujat@aphp.fr" TargetMode="External"/><Relationship Id="rId364" Type="http://schemas.openxmlformats.org/officeDocument/2006/relationships/hyperlink" Target="mailto:pauline.seiter@institutimagine.org" TargetMode="External"/><Relationship Id="rId1008" Type="http://schemas.openxmlformats.org/officeDocument/2006/relationships/hyperlink" Target="mailto:lilia.ezzili@aphp.fr" TargetMode="External"/><Relationship Id="rId61" Type="http://schemas.openxmlformats.org/officeDocument/2006/relationships/hyperlink" Target="mailto:wassa.kanoute@aphp.fr" TargetMode="External"/><Relationship Id="rId571" Type="http://schemas.openxmlformats.org/officeDocument/2006/relationships/hyperlink" Target="mailto:annie.benbaruch@institutimagine.org" TargetMode="External"/><Relationship Id="rId669" Type="http://schemas.openxmlformats.org/officeDocument/2006/relationships/hyperlink" Target="mailto:anne.lenoir@institutimagine.org" TargetMode="External"/><Relationship Id="rId876" Type="http://schemas.openxmlformats.org/officeDocument/2006/relationships/hyperlink" Target="mailto:afcollange@gmail.com" TargetMode="External"/><Relationship Id="rId19" Type="http://schemas.openxmlformats.org/officeDocument/2006/relationships/hyperlink" Target="mailto:pierre.quartier@aphp.fr" TargetMode="External"/><Relationship Id="rId224" Type="http://schemas.openxmlformats.org/officeDocument/2006/relationships/hyperlink" Target="mailto:christelle.lenoir@inserm.fr" TargetMode="External"/><Relationship Id="rId431" Type="http://schemas.openxmlformats.org/officeDocument/2006/relationships/hyperlink" Target="mailto:matthias.titeux@inserm.fr" TargetMode="External"/><Relationship Id="rId529" Type="http://schemas.openxmlformats.org/officeDocument/2006/relationships/hyperlink" Target="mailto:maura.samarani@institutimagine.org" TargetMode="External"/><Relationship Id="rId736" Type="http://schemas.openxmlformats.org/officeDocument/2006/relationships/hyperlink" Target="mailto:kateryna.lemishchenko@ebmt.org" TargetMode="External"/><Relationship Id="rId1061" Type="http://schemas.openxmlformats.org/officeDocument/2006/relationships/hyperlink" Target="mailto:barbara.alfandari@institutimagine.org" TargetMode="External"/><Relationship Id="rId1159" Type="http://schemas.openxmlformats.org/officeDocument/2006/relationships/hyperlink" Target="mailto:marianne.barthomier@institutimagine.org" TargetMode="External"/><Relationship Id="rId168" Type="http://schemas.openxmlformats.org/officeDocument/2006/relationships/hyperlink" Target="mailto:blanca.rojo-guyo@institutimagine.org" TargetMode="External"/><Relationship Id="rId943" Type="http://schemas.openxmlformats.org/officeDocument/2006/relationships/hyperlink" Target="mailto:assoyrii@gmail.com" TargetMode="External"/><Relationship Id="rId1019" Type="http://schemas.openxmlformats.org/officeDocument/2006/relationships/hyperlink" Target="mailto:lea.nabhan@institutimagine.org" TargetMode="External"/><Relationship Id="rId72" Type="http://schemas.openxmlformats.org/officeDocument/2006/relationships/hyperlink" Target="mailto:stephanie.massare@inserm.fr" TargetMode="External"/><Relationship Id="rId375" Type="http://schemas.openxmlformats.org/officeDocument/2006/relationships/hyperlink" Target="mailto:julia.pernet@institutimagine.org" TargetMode="External"/><Relationship Id="rId582" Type="http://schemas.openxmlformats.org/officeDocument/2006/relationships/hyperlink" Target="mailto:louise.cheneau@institutimagine.org" TargetMode="External"/><Relationship Id="rId803" Type="http://schemas.openxmlformats.org/officeDocument/2006/relationships/hyperlink" Target="mailto:pierre-hassim.malbec@institutimagine.org" TargetMode="External"/><Relationship Id="rId3" Type="http://schemas.openxmlformats.org/officeDocument/2006/relationships/hyperlink" Target="mailto:afcollange@gmail.com" TargetMode="External"/><Relationship Id="rId235" Type="http://schemas.openxmlformats.org/officeDocument/2006/relationships/hyperlink" Target="mailto:kathia.barro@aphp.fr" TargetMode="External"/><Relationship Id="rId442" Type="http://schemas.openxmlformats.org/officeDocument/2006/relationships/hyperlink" Target="mailto:anne.lenoir@institutimagine.org" TargetMode="External"/><Relationship Id="rId887" Type="http://schemas.openxmlformats.org/officeDocument/2006/relationships/hyperlink" Target="mailto:antoine.poirot@institutimagine.org" TargetMode="External"/><Relationship Id="rId1072" Type="http://schemas.openxmlformats.org/officeDocument/2006/relationships/hyperlink" Target="mailto:amalia.stantzou@aphp.fr" TargetMode="External"/><Relationship Id="rId302" Type="http://schemas.openxmlformats.org/officeDocument/2006/relationships/hyperlink" Target="mailto:cindy.michel@institutimagine.org" TargetMode="External"/><Relationship Id="rId747" Type="http://schemas.openxmlformats.org/officeDocument/2006/relationships/hyperlink" Target="mailto:debora.lanznaster@aphp.fr" TargetMode="External"/><Relationship Id="rId954" Type="http://schemas.openxmlformats.org/officeDocument/2006/relationships/hyperlink" Target="mailto:annie.benbaruch@institutimagine.org" TargetMode="External"/><Relationship Id="rId83" Type="http://schemas.openxmlformats.org/officeDocument/2006/relationships/hyperlink" Target="mailto:genevieve.baujat@aphp.fr" TargetMode="External"/><Relationship Id="rId179" Type="http://schemas.openxmlformats.org/officeDocument/2006/relationships/hyperlink" Target="mailto:anne.viseur@institutimagine.org" TargetMode="External"/><Relationship Id="rId386" Type="http://schemas.openxmlformats.org/officeDocument/2006/relationships/hyperlink" Target="mailto:hassan.saei@inserm.fr" TargetMode="External"/><Relationship Id="rId593" Type="http://schemas.openxmlformats.org/officeDocument/2006/relationships/hyperlink" Target="mailto:cyrielle.valet@institutimagine.org" TargetMode="External"/><Relationship Id="rId607" Type="http://schemas.openxmlformats.org/officeDocument/2006/relationships/hyperlink" Target="mailto:annie.benbaruch@institutimagine.org" TargetMode="External"/><Relationship Id="rId814" Type="http://schemas.openxmlformats.org/officeDocument/2006/relationships/hyperlink" Target="mailto:leila.guenineche@institutimagine.org" TargetMode="External"/><Relationship Id="rId246" Type="http://schemas.openxmlformats.org/officeDocument/2006/relationships/hyperlink" Target="mailto:lea.salesse@institutimagine.org" TargetMode="External"/><Relationship Id="rId453" Type="http://schemas.openxmlformats.org/officeDocument/2006/relationships/hyperlink" Target="mailto:annie.benbaruch@institutimagine.org" TargetMode="External"/><Relationship Id="rId660" Type="http://schemas.openxmlformats.org/officeDocument/2006/relationships/hyperlink" Target="mailto:maura.samarani@institutimagine.org" TargetMode="External"/><Relationship Id="rId898" Type="http://schemas.openxmlformats.org/officeDocument/2006/relationships/hyperlink" Target="mailto:isild.moreau@croix-rouge.fr" TargetMode="External"/><Relationship Id="rId1083" Type="http://schemas.openxmlformats.org/officeDocument/2006/relationships/hyperlink" Target="mailto:ambroise.leleve@institutimagine.org" TargetMode="External"/><Relationship Id="rId106" Type="http://schemas.openxmlformats.org/officeDocument/2006/relationships/hyperlink" Target="mailto:anais.defreitas@aphp.fr" TargetMode="External"/><Relationship Id="rId313" Type="http://schemas.openxmlformats.org/officeDocument/2006/relationships/hyperlink" Target="mailto:annie.benbaruch@institutimagine.org" TargetMode="External"/><Relationship Id="rId758" Type="http://schemas.openxmlformats.org/officeDocument/2006/relationships/hyperlink" Target="mailto:annie.benbaruch@institutimagine.org" TargetMode="External"/><Relationship Id="rId965" Type="http://schemas.openxmlformats.org/officeDocument/2006/relationships/hyperlink" Target="mailto:3c@3c.fr" TargetMode="External"/><Relationship Id="rId1150" Type="http://schemas.openxmlformats.org/officeDocument/2006/relationships/hyperlink" Target="mailto:annie.benbaruch@institutimagine.org" TargetMode="External"/><Relationship Id="rId10" Type="http://schemas.openxmlformats.org/officeDocument/2006/relationships/hyperlink" Target="mailto:stephanie.remola@inserm-transfert.fr" TargetMode="External"/><Relationship Id="rId94" Type="http://schemas.openxmlformats.org/officeDocument/2006/relationships/hyperlink" Target="mailto:pauline.seiter@institutimagine.org" TargetMode="External"/><Relationship Id="rId397" Type="http://schemas.openxmlformats.org/officeDocument/2006/relationships/hyperlink" Target="mailto:margarita.maille@aphp.fr" TargetMode="External"/><Relationship Id="rId520" Type="http://schemas.openxmlformats.org/officeDocument/2006/relationships/hyperlink" Target="mailto:anne.deimardejabrun@aphp.fr" TargetMode="External"/><Relationship Id="rId618" Type="http://schemas.openxmlformats.org/officeDocument/2006/relationships/hyperlink" Target="mailto:julia.pernet@institutimagine.org" TargetMode="External"/><Relationship Id="rId825" Type="http://schemas.openxmlformats.org/officeDocument/2006/relationships/hyperlink" Target="mailto:jennifer.sannegond@institutimagine.org" TargetMode="External"/><Relationship Id="rId257" Type="http://schemas.openxmlformats.org/officeDocument/2006/relationships/hyperlink" Target="mailto:maura.samarani@institutimagine.org" TargetMode="External"/><Relationship Id="rId464" Type="http://schemas.openxmlformats.org/officeDocument/2006/relationships/hyperlink" Target="mailto:laurence.legeai-mallet@inserm.fr" TargetMode="External"/><Relationship Id="rId1010" Type="http://schemas.openxmlformats.org/officeDocument/2006/relationships/hyperlink" Target="mailto:julie.tahraoui@institutimagine.org" TargetMode="External"/><Relationship Id="rId1094" Type="http://schemas.openxmlformats.org/officeDocument/2006/relationships/hyperlink" Target="mailto:cyrielle.valet@institutimagine.org" TargetMode="External"/><Relationship Id="rId1108" Type="http://schemas.openxmlformats.org/officeDocument/2006/relationships/hyperlink" Target="mailto:sylvia.rose@aphp.fr" TargetMode="External"/><Relationship Id="rId117" Type="http://schemas.openxmlformats.org/officeDocument/2006/relationships/hyperlink" Target="mailto:ines.ben-aissa@aphp.fr" TargetMode="External"/><Relationship Id="rId671" Type="http://schemas.openxmlformats.org/officeDocument/2006/relationships/hyperlink" Target="mailto:julie.tahraoui@institutimagine.org" TargetMode="External"/><Relationship Id="rId769" Type="http://schemas.openxmlformats.org/officeDocument/2006/relationships/hyperlink" Target="mailto:guillaume.dorval@aphp.fr" TargetMode="External"/><Relationship Id="rId976" Type="http://schemas.openxmlformats.org/officeDocument/2006/relationships/hyperlink" Target="mailto:julie.tahraoui@institutimagine.org" TargetMode="External"/><Relationship Id="rId324" Type="http://schemas.openxmlformats.org/officeDocument/2006/relationships/hyperlink" Target="mailto:ambroise.leleve@institutimagine.org" TargetMode="External"/><Relationship Id="rId531" Type="http://schemas.openxmlformats.org/officeDocument/2006/relationships/hyperlink" Target="mailto:nicolas.garcelon@institutimagine.org" TargetMode="External"/><Relationship Id="rId629" Type="http://schemas.openxmlformats.org/officeDocument/2006/relationships/hyperlink" Target="mailto:laure.boquet@institutimagine.org" TargetMode="External"/><Relationship Id="rId1161" Type="http://schemas.openxmlformats.org/officeDocument/2006/relationships/hyperlink" Target="mailto:sandrine.vilcot@institutimagine.org" TargetMode="External"/><Relationship Id="rId836" Type="http://schemas.openxmlformats.org/officeDocument/2006/relationships/hyperlink" Target="mailto:emilie.panafieu@inserm.fr" TargetMode="External"/><Relationship Id="rId1021" Type="http://schemas.openxmlformats.org/officeDocument/2006/relationships/hyperlink" Target="mailto:lucas.fares-taie@inserm.fr" TargetMode="External"/><Relationship Id="rId1119" Type="http://schemas.openxmlformats.org/officeDocument/2006/relationships/hyperlink" Target="mailto:eric.lemaur@institutimagine.org" TargetMode="External"/><Relationship Id="rId903" Type="http://schemas.openxmlformats.org/officeDocument/2006/relationships/hyperlink" Target="mailto:arnold.munnich@inserm.fr" TargetMode="External"/><Relationship Id="rId32" Type="http://schemas.openxmlformats.org/officeDocument/2006/relationships/hyperlink" Target="mailto:severine.poignant@aphp.fr" TargetMode="External"/><Relationship Id="rId181" Type="http://schemas.openxmlformats.org/officeDocument/2006/relationships/hyperlink" Target="mailto:blanca.rojo-guyon@institutimagine.org" TargetMode="External"/><Relationship Id="rId279" Type="http://schemas.openxmlformats.org/officeDocument/2006/relationships/hyperlink" Target="mailto:pauline.seiter@institutimagine.org" TargetMode="External"/><Relationship Id="rId486" Type="http://schemas.openxmlformats.org/officeDocument/2006/relationships/hyperlink" Target="mailto:marie.de-bazelaire@institutimagine.org" TargetMode="External"/><Relationship Id="rId693" Type="http://schemas.openxmlformats.org/officeDocument/2006/relationships/hyperlink" Target="mailto:nathalie.boddaert@aphp.fr" TargetMode="External"/><Relationship Id="rId139" Type="http://schemas.openxmlformats.org/officeDocument/2006/relationships/hyperlink" Target="mailto:serge.romana@aphp.fr" TargetMode="External"/><Relationship Id="rId346" Type="http://schemas.openxmlformats.org/officeDocument/2006/relationships/hyperlink" Target="mailto:jean-philippe.annereau@medetia.com" TargetMode="External"/><Relationship Id="rId553" Type="http://schemas.openxmlformats.org/officeDocument/2006/relationships/hyperlink" Target="mailto:maura.samarani@institutimagine.org" TargetMode="External"/><Relationship Id="rId760" Type="http://schemas.openxmlformats.org/officeDocument/2006/relationships/hyperlink" Target="mailto:charlotte.benhaim-durin@institutimagine.org" TargetMode="External"/><Relationship Id="rId998" Type="http://schemas.openxmlformats.org/officeDocument/2006/relationships/hyperlink" Target="mailto:cyrielle.valet@institutimagine.org" TargetMode="External"/><Relationship Id="rId1183" Type="http://schemas.openxmlformats.org/officeDocument/2006/relationships/hyperlink" Target="mailto:afcollange@gmail.com" TargetMode="External"/><Relationship Id="rId206" Type="http://schemas.openxmlformats.org/officeDocument/2006/relationships/hyperlink" Target="mailto:blanca.rojo-guyon@institutimagine.org" TargetMode="External"/><Relationship Id="rId413" Type="http://schemas.openxmlformats.org/officeDocument/2006/relationships/hyperlink" Target="mailto:rosalie.borry@institutimagine.org" TargetMode="External"/><Relationship Id="rId858" Type="http://schemas.openxmlformats.org/officeDocument/2006/relationships/hyperlink" Target="mailto:bioentrepreneurs@institutimagine.org" TargetMode="External"/><Relationship Id="rId1043" Type="http://schemas.openxmlformats.org/officeDocument/2006/relationships/hyperlink" Target="mailto:anne.deimardejabrun@aphp.fr" TargetMode="External"/><Relationship Id="rId620" Type="http://schemas.openxmlformats.org/officeDocument/2006/relationships/hyperlink" Target="mailto:rebecca.gene@aphp.fr" TargetMode="External"/><Relationship Id="rId718" Type="http://schemas.openxmlformats.org/officeDocument/2006/relationships/hyperlink" Target="mailto:manon@fundraisers.fr" TargetMode="External"/><Relationship Id="rId925" Type="http://schemas.openxmlformats.org/officeDocument/2006/relationships/hyperlink" Target="mailto:marie-louise.fremond@aphp.fr" TargetMode="External"/><Relationship Id="rId1110" Type="http://schemas.openxmlformats.org/officeDocument/2006/relationships/hyperlink" Target="mailto:cyrielle.valet@institutimagine.org" TargetMode="External"/><Relationship Id="rId1208" Type="http://schemas.openxmlformats.org/officeDocument/2006/relationships/hyperlink" Target="mailto:yohane.mateus@institutimagine.org" TargetMode="External"/><Relationship Id="rId54" Type="http://schemas.openxmlformats.org/officeDocument/2006/relationships/hyperlink" Target="mailto:genevieve.baujat@aphp.fr" TargetMode="External"/><Relationship Id="rId270" Type="http://schemas.openxmlformats.org/officeDocument/2006/relationships/hyperlink" Target="mailto:maura.samarani@institutimagine.org" TargetMode="External"/><Relationship Id="rId130" Type="http://schemas.openxmlformats.org/officeDocument/2006/relationships/hyperlink" Target="mailto:pauline.seiter@institutimagine.org" TargetMode="External"/><Relationship Id="rId368" Type="http://schemas.openxmlformats.org/officeDocument/2006/relationships/hyperlink" Target="mailto:damien.bonnet@aphp.fr" TargetMode="External"/><Relationship Id="rId575" Type="http://schemas.openxmlformats.org/officeDocument/2006/relationships/hyperlink" Target="mailto:afcollange@gmail.com" TargetMode="External"/><Relationship Id="rId782" Type="http://schemas.openxmlformats.org/officeDocument/2006/relationships/hyperlink" Target="mailto:annie.benbaruch@institutimagine.org" TargetMode="External"/><Relationship Id="rId228" Type="http://schemas.openxmlformats.org/officeDocument/2006/relationships/hyperlink" Target="mailto:quentinhennocq@gmail.com" TargetMode="External"/><Relationship Id="rId435" Type="http://schemas.openxmlformats.org/officeDocument/2006/relationships/hyperlink" Target="mailto:sabrina.el-yazidi@institutimagine.org" TargetMode="External"/><Relationship Id="rId642" Type="http://schemas.openxmlformats.org/officeDocument/2006/relationships/hyperlink" Target="mailto:melania.cruciani@institutimagine.org" TargetMode="External"/><Relationship Id="rId1065" Type="http://schemas.openxmlformats.org/officeDocument/2006/relationships/hyperlink" Target="mailto:julie.tahraoui@institutimagine.org" TargetMode="External"/><Relationship Id="rId502" Type="http://schemas.openxmlformats.org/officeDocument/2006/relationships/hyperlink" Target="mailto:Agathe@savourrfood.com" TargetMode="External"/><Relationship Id="rId947" Type="http://schemas.openxmlformats.org/officeDocument/2006/relationships/hyperlink" Target="mailto:annie.benbaruch@institutimagine.org" TargetMode="External"/><Relationship Id="rId1132" Type="http://schemas.openxmlformats.org/officeDocument/2006/relationships/hyperlink" Target="mailto:maura.samarani@institutimagine.org" TargetMode="External"/><Relationship Id="rId76" Type="http://schemas.openxmlformats.org/officeDocument/2006/relationships/hyperlink" Target="mailto:julien.husson@institutimagine.org" TargetMode="External"/><Relationship Id="rId807" Type="http://schemas.openxmlformats.org/officeDocument/2006/relationships/hyperlink" Target="mailto:maura.samarani@institutimagine.org" TargetMode="External"/><Relationship Id="rId292" Type="http://schemas.openxmlformats.org/officeDocument/2006/relationships/hyperlink" Target="mailto:julia.pernet@institutimagine.org" TargetMode="External"/><Relationship Id="rId597" Type="http://schemas.openxmlformats.org/officeDocument/2006/relationships/hyperlink" Target="mailto:maura.samarani@institutimagine.org" TargetMode="External"/><Relationship Id="rId152" Type="http://schemas.openxmlformats.org/officeDocument/2006/relationships/hyperlink" Target="mailto:j-redenac@chu-montpellier.fr" TargetMode="External"/><Relationship Id="rId457" Type="http://schemas.openxmlformats.org/officeDocument/2006/relationships/hyperlink" Target="mailto:laure.verlin@institutimagine.org" TargetMode="External"/><Relationship Id="rId1087" Type="http://schemas.openxmlformats.org/officeDocument/2006/relationships/hyperlink" Target="mailto:ambroise.leleve@institutimagine.org" TargetMode="External"/><Relationship Id="rId664" Type="http://schemas.openxmlformats.org/officeDocument/2006/relationships/hyperlink" Target="mailto:leila.guenineche@institutimagine.org" TargetMode="External"/><Relationship Id="rId871" Type="http://schemas.openxmlformats.org/officeDocument/2006/relationships/hyperlink" Target="mailto:julie.tahraoui@institutimagine.org" TargetMode="External"/><Relationship Id="rId969" Type="http://schemas.openxmlformats.org/officeDocument/2006/relationships/hyperlink" Target="mailto:cyrielle.valet@institutimagine.org" TargetMode="External"/><Relationship Id="rId317" Type="http://schemas.openxmlformats.org/officeDocument/2006/relationships/hyperlink" Target="mailto:annie.benbaruch@institutimagine.org" TargetMode="External"/><Relationship Id="rId524" Type="http://schemas.openxmlformats.org/officeDocument/2006/relationships/hyperlink" Target="mailto:thibaut.perchet@institutimagine.org" TargetMode="External"/><Relationship Id="rId731" Type="http://schemas.openxmlformats.org/officeDocument/2006/relationships/hyperlink" Target="mailto:stephanie.kervestin@ariis.fr" TargetMode="External"/><Relationship Id="rId1154" Type="http://schemas.openxmlformats.org/officeDocument/2006/relationships/hyperlink" Target="mailto:yoahne.mateus@institutimagine.org" TargetMode="External"/><Relationship Id="rId98" Type="http://schemas.openxmlformats.org/officeDocument/2006/relationships/hyperlink" Target="mailto:blanca.rojo-guyon@institutimagine.org" TargetMode="External"/><Relationship Id="rId829" Type="http://schemas.openxmlformats.org/officeDocument/2006/relationships/hyperlink" Target="mailto:bioentrepreneurs@institutimagine.org" TargetMode="External"/><Relationship Id="rId1014" Type="http://schemas.openxmlformats.org/officeDocument/2006/relationships/hyperlink" Target="mailto:elisa.erjavec@institutimagine.org" TargetMode="External"/><Relationship Id="rId25" Type="http://schemas.openxmlformats.org/officeDocument/2006/relationships/hyperlink" Target="mailto:assoyrii@gmail.com" TargetMode="External"/><Relationship Id="rId174" Type="http://schemas.openxmlformats.org/officeDocument/2006/relationships/hyperlink" Target="mailto:nathalie.borel@institutimagine.org" TargetMode="External"/><Relationship Id="rId381" Type="http://schemas.openxmlformats.org/officeDocument/2006/relationships/hyperlink" Target="mailto:maura.samarani@institutimagine.org" TargetMode="External"/><Relationship Id="rId241" Type="http://schemas.openxmlformats.org/officeDocument/2006/relationships/hyperlink" Target="mailto:laure.choupeaux@aphp.fr" TargetMode="External"/><Relationship Id="rId479" Type="http://schemas.openxmlformats.org/officeDocument/2006/relationships/hyperlink" Target="mailto:fanny.schiappapietre@institutimagine.org" TargetMode="External"/><Relationship Id="rId686" Type="http://schemas.openxmlformats.org/officeDocument/2006/relationships/hyperlink" Target="mailto:annie.benbaruch@institutimagine.org" TargetMode="External"/><Relationship Id="rId893" Type="http://schemas.openxmlformats.org/officeDocument/2006/relationships/hyperlink" Target="mailto:maura.samarani@institutimagine.org" TargetMode="External"/><Relationship Id="rId339" Type="http://schemas.openxmlformats.org/officeDocument/2006/relationships/hyperlink" Target="mailto:julia.pernet@institutimagine.org" TargetMode="External"/><Relationship Id="rId546" Type="http://schemas.openxmlformats.org/officeDocument/2006/relationships/hyperlink" Target="mailto:louise.cheneau@institutimagine.org" TargetMode="External"/><Relationship Id="rId753" Type="http://schemas.openxmlformats.org/officeDocument/2006/relationships/hyperlink" Target="mailto:abigail.bejou@institutimagine.org" TargetMode="External"/><Relationship Id="rId1176" Type="http://schemas.openxmlformats.org/officeDocument/2006/relationships/hyperlink" Target="mailto:cyrielle.valet@institutimagine.org" TargetMode="External"/><Relationship Id="rId101" Type="http://schemas.openxmlformats.org/officeDocument/2006/relationships/hyperlink" Target="mailto:maura.samarani@institutimagine.org" TargetMode="External"/><Relationship Id="rId406" Type="http://schemas.openxmlformats.org/officeDocument/2006/relationships/hyperlink" Target="mailto:stanislas.lyonnet@institutimagine.org" TargetMode="External"/><Relationship Id="rId960" Type="http://schemas.openxmlformats.org/officeDocument/2006/relationships/hyperlink" Target="mailto:nadine.voisenet@aphp.fr" TargetMode="External"/><Relationship Id="rId1036" Type="http://schemas.openxmlformats.org/officeDocument/2006/relationships/hyperlink" Target="mailto:cherifa.santangelo@aphp.fr" TargetMode="External"/><Relationship Id="rId613" Type="http://schemas.openxmlformats.org/officeDocument/2006/relationships/hyperlink" Target="mailto:maura.samarani@institutimagine.org" TargetMode="External"/><Relationship Id="rId820" Type="http://schemas.openxmlformats.org/officeDocument/2006/relationships/hyperlink" Target="mailto:assoyrii@gmail.com" TargetMode="External"/><Relationship Id="rId918" Type="http://schemas.openxmlformats.org/officeDocument/2006/relationships/hyperlink" Target="mailto:maura.samarani@institutimagine.org" TargetMode="External"/><Relationship Id="rId1103" Type="http://schemas.openxmlformats.org/officeDocument/2006/relationships/hyperlink" Target="mailto:nadia.harrani@aphp.fr" TargetMode="External"/><Relationship Id="rId47" Type="http://schemas.openxmlformats.org/officeDocument/2006/relationships/hyperlink" Target="mailto:smail.hadj@inserm.fr," TargetMode="External"/><Relationship Id="rId196" Type="http://schemas.openxmlformats.org/officeDocument/2006/relationships/hyperlink" Target="mailto:maura.samarani@institutimagine.org" TargetMode="External"/><Relationship Id="rId263" Type="http://schemas.openxmlformats.org/officeDocument/2006/relationships/hyperlink" Target="mailto:secretariat@institutimagine.org" TargetMode="External"/><Relationship Id="rId470" Type="http://schemas.openxmlformats.org/officeDocument/2006/relationships/hyperlink" Target="mailto:megane.brusson@institutimagine.org" TargetMode="External"/><Relationship Id="rId123" Type="http://schemas.openxmlformats.org/officeDocument/2006/relationships/hyperlink" Target="mailto:christophe.delacourt@aphp.fr" TargetMode="External"/><Relationship Id="rId330" Type="http://schemas.openxmlformats.org/officeDocument/2006/relationships/hyperlink" Target="mailto:rima.nabbout@aphp.fr" TargetMode="External"/><Relationship Id="rId568" Type="http://schemas.openxmlformats.org/officeDocument/2006/relationships/hyperlink" Target="mailto:abigail.bejou@institutimagine.org" TargetMode="External"/><Relationship Id="rId775" Type="http://schemas.openxmlformats.org/officeDocument/2006/relationships/hyperlink" Target="mailto:valerie.munos@aphp.fr" TargetMode="External"/><Relationship Id="rId982" Type="http://schemas.openxmlformats.org/officeDocument/2006/relationships/hyperlink" Target="mailto:leila.guenineche@institutimagine.org" TargetMode="External"/><Relationship Id="rId1198" Type="http://schemas.openxmlformats.org/officeDocument/2006/relationships/hyperlink" Target="mailto:marianna.parlato@inserm.fr" TargetMode="External"/><Relationship Id="rId428" Type="http://schemas.openxmlformats.org/officeDocument/2006/relationships/hyperlink" Target="mailto:nouara.lhocine@institutimagine.org" TargetMode="External"/><Relationship Id="rId635" Type="http://schemas.openxmlformats.org/officeDocument/2006/relationships/hyperlink" Target="mailto:annie.benbaruch@institutimagine.org" TargetMode="External"/><Relationship Id="rId842" Type="http://schemas.openxmlformats.org/officeDocument/2006/relationships/hyperlink" Target="mailto:virgile.kabanda@institutimagine.org" TargetMode="External"/><Relationship Id="rId1058" Type="http://schemas.openxmlformats.org/officeDocument/2006/relationships/hyperlink" Target="mailto:annie.benbaruch@institutimagine.org" TargetMode="External"/><Relationship Id="rId702" Type="http://schemas.openxmlformats.org/officeDocument/2006/relationships/hyperlink" Target="mailto:melanie.var@inserm.fr" TargetMode="External"/><Relationship Id="rId1125" Type="http://schemas.openxmlformats.org/officeDocument/2006/relationships/hyperlink" Target="mailto:faurevalentine@gmail.com" TargetMode="External"/><Relationship Id="rId69" Type="http://schemas.openxmlformats.org/officeDocument/2006/relationships/hyperlink" Target="mailto:genevieve.baujat@aphp.fr" TargetMode="External"/><Relationship Id="rId285" Type="http://schemas.openxmlformats.org/officeDocument/2006/relationships/hyperlink" Target="mailto:marie.de-bazelaire@institutimagine.org" TargetMode="External"/><Relationship Id="rId492" Type="http://schemas.openxmlformats.org/officeDocument/2006/relationships/hyperlink" Target="mailto:pauline.canevet@institutimagine.org" TargetMode="External"/><Relationship Id="rId797" Type="http://schemas.openxmlformats.org/officeDocument/2006/relationships/hyperlink" Target="mailto:renaud.magnant@institutimagine.org" TargetMode="External"/><Relationship Id="rId145" Type="http://schemas.openxmlformats.org/officeDocument/2006/relationships/hyperlink" Target="mailto:blanca.rojo-guyon@institutimagine.org" TargetMode="External"/><Relationship Id="rId352" Type="http://schemas.openxmlformats.org/officeDocument/2006/relationships/hyperlink" Target="mailto:christophe.delacourt@aphp.fr" TargetMode="External"/><Relationship Id="rId212" Type="http://schemas.openxmlformats.org/officeDocument/2006/relationships/hyperlink" Target="mailto:blanca.rojo-guyon@institutimagine.org" TargetMode="External"/><Relationship Id="rId657" Type="http://schemas.openxmlformats.org/officeDocument/2006/relationships/hyperlink" Target="mailto:pauline.canevet@institutimagine.org" TargetMode="External"/><Relationship Id="rId864" Type="http://schemas.openxmlformats.org/officeDocument/2006/relationships/hyperlink" Target="mailto:leila.guenineche@institutimagine.org" TargetMode="External"/><Relationship Id="rId517" Type="http://schemas.openxmlformats.org/officeDocument/2006/relationships/hyperlink" Target="mailto:annie.benbaruch@institutimagine.org" TargetMode="External"/><Relationship Id="rId724" Type="http://schemas.openxmlformats.org/officeDocument/2006/relationships/hyperlink" Target="mailto:farid@soo-far.com" TargetMode="External"/><Relationship Id="rId931" Type="http://schemas.openxmlformats.org/officeDocument/2006/relationships/hyperlink" Target="mailto:alexandre.pierga@institutimagine.org" TargetMode="External"/><Relationship Id="rId1147" Type="http://schemas.openxmlformats.org/officeDocument/2006/relationships/hyperlink" Target="mailto:viviane.barbarisi@mcocongres.com" TargetMode="External"/><Relationship Id="rId60" Type="http://schemas.openxmlformats.org/officeDocument/2006/relationships/hyperlink" Target="mailto:wassa.kanoute@aphp.fr" TargetMode="External"/><Relationship Id="rId1007" Type="http://schemas.openxmlformats.org/officeDocument/2006/relationships/hyperlink" Target="mailto:severine.delalande@institutimagin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BA4E-3D9C-48A3-85A2-B45C0480825F}">
  <dimension ref="A1:F2055"/>
  <sheetViews>
    <sheetView tabSelected="1" zoomScale="85" zoomScaleNormal="85" workbookViewId="0">
      <pane ySplit="15" topLeftCell="A2029" activePane="bottomLeft" state="frozen"/>
      <selection pane="bottomLeft" activeCell="B2038" sqref="B2038"/>
    </sheetView>
  </sheetViews>
  <sheetFormatPr baseColWidth="10" defaultRowHeight="14.5" x14ac:dyDescent="0.35"/>
  <cols>
    <col min="1" max="1" width="16.54296875" style="30" customWidth="1"/>
    <col min="2" max="2" width="87.90625" style="34" bestFit="1" customWidth="1"/>
    <col min="3" max="3" width="22.36328125" style="32" bestFit="1" customWidth="1"/>
    <col min="4" max="4" width="72.90625" style="34" bestFit="1" customWidth="1"/>
    <col min="5" max="5" width="19.7265625" style="47" customWidth="1"/>
    <col min="6" max="6" width="21.453125" style="47" bestFit="1" customWidth="1"/>
  </cols>
  <sheetData>
    <row r="1" spans="1:6" s="1" customFormat="1" ht="63.5" x14ac:dyDescent="2">
      <c r="A1" s="84" t="s">
        <v>1666</v>
      </c>
      <c r="B1" s="83"/>
      <c r="C1" s="32"/>
      <c r="D1" s="34"/>
      <c r="E1" s="47"/>
      <c r="F1" s="47"/>
    </row>
    <row r="2" spans="1:6" s="1" customFormat="1" x14ac:dyDescent="0.35">
      <c r="A2" s="62"/>
      <c r="B2" s="63"/>
      <c r="C2" s="64"/>
      <c r="D2" s="72" t="s">
        <v>1121</v>
      </c>
      <c r="E2" s="73"/>
      <c r="F2" s="73"/>
    </row>
    <row r="3" spans="1:6" s="1" customFormat="1" x14ac:dyDescent="0.35">
      <c r="A3" s="29"/>
      <c r="B3" s="33"/>
      <c r="C3" s="66"/>
      <c r="D3" s="74" t="s">
        <v>1122</v>
      </c>
      <c r="E3" s="75">
        <f>+AVERAGE(E16:E1175,E9966)</f>
        <v>2639.4112941176468</v>
      </c>
      <c r="F3" s="75"/>
    </row>
    <row r="4" spans="1:6" s="1" customFormat="1" x14ac:dyDescent="0.35">
      <c r="A4" s="29"/>
      <c r="B4" s="79">
        <f>SUM(E16:E2967)</f>
        <v>624444.64000000025</v>
      </c>
      <c r="C4" s="66"/>
      <c r="D4" s="74"/>
      <c r="E4" s="75"/>
      <c r="F4" s="75"/>
    </row>
    <row r="5" spans="1:6" s="1" customFormat="1" x14ac:dyDescent="0.35">
      <c r="A5" s="29"/>
      <c r="B5" s="70" t="s">
        <v>84</v>
      </c>
      <c r="C5" s="66">
        <f>COUNTIF(C$15:C$1048576,"Gratuit")</f>
        <v>1732</v>
      </c>
      <c r="D5" s="76" t="s">
        <v>1123</v>
      </c>
      <c r="E5" s="75">
        <f ca="1">COUNTIF($E:$E,"&gt;=0")-COUNTIF($E:$E,"&gt;500")</f>
        <v>55</v>
      </c>
      <c r="F5" s="75"/>
    </row>
    <row r="6" spans="1:6" s="1" customFormat="1" x14ac:dyDescent="0.35">
      <c r="A6" s="29"/>
      <c r="B6" s="70" t="s">
        <v>164</v>
      </c>
      <c r="C6" s="66">
        <f>COUNTIF(C$15:C$1048576,"Tarif académique")</f>
        <v>61</v>
      </c>
      <c r="D6" s="76" t="s">
        <v>1124</v>
      </c>
      <c r="E6" s="75">
        <f>COUNTIF($E$16:$E$1048576,"&gt;=500")-COUNTIF($E$16:$E$1048576,"&gt;2500")</f>
        <v>92</v>
      </c>
      <c r="F6" s="75"/>
    </row>
    <row r="7" spans="1:6" s="1" customFormat="1" x14ac:dyDescent="0.35">
      <c r="A7" s="62"/>
      <c r="B7" s="71" t="s">
        <v>594</v>
      </c>
      <c r="C7" s="66">
        <f>COUNTIF(C$15:C$1048576,"Coûtant")</f>
        <v>48</v>
      </c>
      <c r="D7" s="76" t="s">
        <v>1125</v>
      </c>
      <c r="E7" s="75">
        <f>COUNTIF($E$16:$E$1048576,"&gt;=2500")-COUNTIF($E$16:$E$1048576,"&gt;5000")</f>
        <v>41</v>
      </c>
      <c r="F7" s="73"/>
    </row>
    <row r="8" spans="1:6" s="1" customFormat="1" x14ac:dyDescent="0.35">
      <c r="A8" s="62"/>
      <c r="B8" s="71" t="s">
        <v>229</v>
      </c>
      <c r="C8" s="66">
        <f>COUNTIF(C$15:C$1048576,"Plein tarif")</f>
        <v>44</v>
      </c>
      <c r="D8" s="76" t="s">
        <v>1126</v>
      </c>
      <c r="E8" s="75">
        <f>COUNTIF($E$16:$E$1048576,"&gt;=5000")-COUNTIF($E$16:$E$1048576,"&gt;10000")</f>
        <v>33</v>
      </c>
      <c r="F8" s="73"/>
    </row>
    <row r="9" spans="1:6" s="1" customFormat="1" x14ac:dyDescent="0.35">
      <c r="A9" s="62"/>
      <c r="B9" s="71" t="s">
        <v>593</v>
      </c>
      <c r="C9" s="66">
        <f>COUNTIF(C$15:C$1048576,"Inconnu")</f>
        <v>130</v>
      </c>
      <c r="D9" s="77" t="s">
        <v>1127</v>
      </c>
      <c r="E9" s="75">
        <f>COUNTIF($E$16:$E$1048576,"&gt;=10000")</f>
        <v>9</v>
      </c>
      <c r="F9" s="73"/>
    </row>
    <row r="10" spans="1:6" s="1" customFormat="1" x14ac:dyDescent="0.35">
      <c r="A10" s="62"/>
      <c r="B10" s="67"/>
      <c r="C10" s="66"/>
      <c r="D10" s="78"/>
      <c r="E10" s="73"/>
      <c r="F10" s="73"/>
    </row>
    <row r="11" spans="1:6" s="1" customFormat="1" x14ac:dyDescent="0.35">
      <c r="A11" s="62"/>
      <c r="B11" s="67"/>
      <c r="C11" s="66"/>
      <c r="D11" s="78"/>
      <c r="E11" s="73"/>
      <c r="F11" s="73"/>
    </row>
    <row r="12" spans="1:6" s="1" customFormat="1" x14ac:dyDescent="0.35">
      <c r="A12" s="62"/>
      <c r="B12" s="67"/>
      <c r="C12" s="64"/>
      <c r="D12" s="78"/>
      <c r="E12" s="73"/>
      <c r="F12" s="73"/>
    </row>
    <row r="13" spans="1:6" s="1" customFormat="1" x14ac:dyDescent="0.35">
      <c r="A13" s="80" t="s">
        <v>1128</v>
      </c>
      <c r="B13" s="81">
        <f>SUM(E16:E2967)</f>
        <v>624444.64000000025</v>
      </c>
      <c r="C13" s="64"/>
      <c r="D13" s="67"/>
      <c r="E13" s="65"/>
      <c r="F13" s="65"/>
    </row>
    <row r="14" spans="1:6" s="1" customFormat="1" x14ac:dyDescent="0.35">
      <c r="A14" s="80" t="s">
        <v>1129</v>
      </c>
      <c r="B14" s="82">
        <f>SUM(F16:F2967)</f>
        <v>860108.5359999995</v>
      </c>
      <c r="C14" s="66"/>
      <c r="D14" s="67"/>
      <c r="E14" s="65"/>
      <c r="F14" s="65"/>
    </row>
    <row r="15" spans="1:6" s="35" customFormat="1" ht="18.5" x14ac:dyDescent="0.45">
      <c r="A15" s="85" t="s">
        <v>0</v>
      </c>
      <c r="B15" s="68" t="s">
        <v>1</v>
      </c>
      <c r="C15" s="68" t="s">
        <v>2</v>
      </c>
      <c r="D15" s="68" t="s">
        <v>3</v>
      </c>
      <c r="E15" s="69" t="s">
        <v>4</v>
      </c>
      <c r="F15" s="69" t="s">
        <v>5</v>
      </c>
    </row>
    <row r="16" spans="1:6" x14ac:dyDescent="0.35">
      <c r="A16" s="26">
        <v>41722</v>
      </c>
      <c r="B16" s="2" t="s">
        <v>617</v>
      </c>
      <c r="C16" s="11" t="s">
        <v>84</v>
      </c>
      <c r="D16" s="2" t="s">
        <v>661</v>
      </c>
      <c r="E16" s="45"/>
      <c r="F16" s="45">
        <v>0</v>
      </c>
    </row>
    <row r="17" spans="1:6" x14ac:dyDescent="0.35">
      <c r="A17" s="8">
        <v>41777</v>
      </c>
      <c r="B17" s="13" t="s">
        <v>6</v>
      </c>
      <c r="C17" s="22" t="s">
        <v>164</v>
      </c>
      <c r="D17" s="13" t="s">
        <v>593</v>
      </c>
      <c r="E17" s="44">
        <v>6000</v>
      </c>
      <c r="F17" s="44">
        <v>6400</v>
      </c>
    </row>
    <row r="18" spans="1:6" x14ac:dyDescent="0.35">
      <c r="A18" s="8">
        <v>41929</v>
      </c>
      <c r="B18" s="13" t="s">
        <v>7</v>
      </c>
      <c r="C18" s="22" t="s">
        <v>164</v>
      </c>
      <c r="D18" s="13" t="s">
        <v>15</v>
      </c>
      <c r="E18" s="44">
        <v>4000</v>
      </c>
      <c r="F18" s="44">
        <v>4800</v>
      </c>
    </row>
    <row r="19" spans="1:6" x14ac:dyDescent="0.35">
      <c r="A19" s="8">
        <v>41956</v>
      </c>
      <c r="B19" s="13" t="s">
        <v>8</v>
      </c>
      <c r="C19" s="31" t="s">
        <v>13</v>
      </c>
      <c r="D19" s="13" t="s">
        <v>8</v>
      </c>
      <c r="E19" s="44">
        <v>1500</v>
      </c>
      <c r="F19" s="44">
        <v>1500</v>
      </c>
    </row>
    <row r="20" spans="1:6" x14ac:dyDescent="0.35">
      <c r="A20" s="8">
        <v>41960</v>
      </c>
      <c r="B20" s="13" t="s">
        <v>9</v>
      </c>
      <c r="C20" s="22" t="s">
        <v>229</v>
      </c>
      <c r="D20" s="13" t="s">
        <v>16</v>
      </c>
      <c r="E20" s="44">
        <v>10000</v>
      </c>
      <c r="F20" s="44">
        <v>12000</v>
      </c>
    </row>
    <row r="21" spans="1:6" x14ac:dyDescent="0.35">
      <c r="A21" s="8">
        <v>41969</v>
      </c>
      <c r="B21" s="13" t="s">
        <v>10</v>
      </c>
      <c r="C21" s="22" t="s">
        <v>14</v>
      </c>
      <c r="D21" s="13" t="s">
        <v>17</v>
      </c>
      <c r="E21" s="44">
        <v>5000</v>
      </c>
      <c r="F21" s="44">
        <v>6000</v>
      </c>
    </row>
    <row r="22" spans="1:6" x14ac:dyDescent="0.35">
      <c r="A22" s="8">
        <v>41984</v>
      </c>
      <c r="B22" s="13" t="s">
        <v>11</v>
      </c>
      <c r="C22" s="31" t="s">
        <v>14</v>
      </c>
      <c r="D22" s="13" t="s">
        <v>18</v>
      </c>
      <c r="E22" s="44">
        <v>2280</v>
      </c>
      <c r="F22" s="44">
        <v>2736</v>
      </c>
    </row>
    <row r="23" spans="1:6" x14ac:dyDescent="0.35">
      <c r="A23" s="8">
        <v>41989</v>
      </c>
      <c r="B23" s="13" t="s">
        <v>12</v>
      </c>
      <c r="C23" s="22" t="s">
        <v>229</v>
      </c>
      <c r="D23" s="13" t="s">
        <v>19</v>
      </c>
      <c r="E23" s="44">
        <v>12000</v>
      </c>
      <c r="F23" s="44">
        <v>14400</v>
      </c>
    </row>
    <row r="24" spans="1:6" x14ac:dyDescent="0.35">
      <c r="A24" s="26">
        <v>42021</v>
      </c>
      <c r="B24" s="36" t="s">
        <v>20</v>
      </c>
      <c r="C24" s="11" t="s">
        <v>42</v>
      </c>
      <c r="D24" s="36" t="s">
        <v>47</v>
      </c>
      <c r="E24" s="45">
        <v>700</v>
      </c>
      <c r="F24" s="45">
        <v>840</v>
      </c>
    </row>
    <row r="25" spans="1:6" x14ac:dyDescent="0.35">
      <c r="A25" s="26">
        <v>42025</v>
      </c>
      <c r="B25" s="36" t="s">
        <v>27</v>
      </c>
      <c r="C25" s="22" t="s">
        <v>164</v>
      </c>
      <c r="D25" s="36" t="s">
        <v>54</v>
      </c>
      <c r="E25" s="45">
        <v>6000</v>
      </c>
      <c r="F25" s="45">
        <v>7200</v>
      </c>
    </row>
    <row r="26" spans="1:6" x14ac:dyDescent="0.35">
      <c r="A26" s="26">
        <v>42068</v>
      </c>
      <c r="B26" s="36" t="s">
        <v>21</v>
      </c>
      <c r="C26" s="11" t="s">
        <v>593</v>
      </c>
      <c r="D26" s="36" t="s">
        <v>48</v>
      </c>
      <c r="E26" s="45">
        <v>3345.5</v>
      </c>
      <c r="F26" s="45">
        <v>4014.6</v>
      </c>
    </row>
    <row r="27" spans="1:6" x14ac:dyDescent="0.35">
      <c r="A27" s="26">
        <v>42085</v>
      </c>
      <c r="B27" s="36" t="s">
        <v>23</v>
      </c>
      <c r="C27" s="11" t="s">
        <v>44</v>
      </c>
      <c r="D27" s="36" t="s">
        <v>50</v>
      </c>
      <c r="E27" s="45">
        <v>2500</v>
      </c>
      <c r="F27" s="45">
        <v>3000</v>
      </c>
    </row>
    <row r="28" spans="1:6" x14ac:dyDescent="0.35">
      <c r="A28" s="26">
        <v>42103</v>
      </c>
      <c r="B28" s="36" t="s">
        <v>22</v>
      </c>
      <c r="C28" s="11" t="s">
        <v>43</v>
      </c>
      <c r="D28" s="36" t="s">
        <v>49</v>
      </c>
      <c r="E28" s="45">
        <v>2000</v>
      </c>
      <c r="F28" s="45">
        <v>2400</v>
      </c>
    </row>
    <row r="29" spans="1:6" x14ac:dyDescent="0.35">
      <c r="A29" s="26">
        <v>42131</v>
      </c>
      <c r="B29" s="36" t="s">
        <v>29</v>
      </c>
      <c r="C29" s="22" t="s">
        <v>229</v>
      </c>
      <c r="D29" s="36" t="s">
        <v>56</v>
      </c>
      <c r="E29" s="45">
        <v>500</v>
      </c>
      <c r="F29" s="45">
        <v>600</v>
      </c>
    </row>
    <row r="30" spans="1:6" x14ac:dyDescent="0.35">
      <c r="A30" s="26">
        <v>42163</v>
      </c>
      <c r="B30" s="36" t="s">
        <v>31</v>
      </c>
      <c r="C30" s="22" t="s">
        <v>164</v>
      </c>
      <c r="D30" s="36" t="s">
        <v>58</v>
      </c>
      <c r="E30" s="45">
        <v>2000</v>
      </c>
      <c r="F30" s="45">
        <v>2400</v>
      </c>
    </row>
    <row r="31" spans="1:6" x14ac:dyDescent="0.35">
      <c r="A31" s="26">
        <v>42163</v>
      </c>
      <c r="B31" s="36" t="s">
        <v>32</v>
      </c>
      <c r="C31" s="31" t="s">
        <v>164</v>
      </c>
      <c r="D31" s="36" t="s">
        <v>59</v>
      </c>
      <c r="E31" s="45">
        <v>2000</v>
      </c>
      <c r="F31" s="45">
        <v>2400</v>
      </c>
    </row>
    <row r="32" spans="1:6" x14ac:dyDescent="0.35">
      <c r="A32" s="26">
        <v>42163</v>
      </c>
      <c r="B32" s="36" t="s">
        <v>71</v>
      </c>
      <c r="C32" s="50" t="s">
        <v>84</v>
      </c>
      <c r="D32" s="36" t="s">
        <v>79</v>
      </c>
      <c r="E32" s="45"/>
      <c r="F32" s="45"/>
    </row>
    <row r="33" spans="1:6" x14ac:dyDescent="0.35">
      <c r="A33" s="26">
        <v>42171</v>
      </c>
      <c r="B33" s="36" t="s">
        <v>29</v>
      </c>
      <c r="C33" s="31" t="s">
        <v>229</v>
      </c>
      <c r="D33" s="36" t="s">
        <v>56</v>
      </c>
      <c r="E33" s="45">
        <v>5000</v>
      </c>
      <c r="F33" s="45">
        <v>6000</v>
      </c>
    </row>
    <row r="34" spans="1:6" x14ac:dyDescent="0.35">
      <c r="A34" s="26">
        <v>42174</v>
      </c>
      <c r="B34" s="36" t="s">
        <v>46</v>
      </c>
      <c r="C34" s="11" t="s">
        <v>84</v>
      </c>
      <c r="D34" s="36" t="s">
        <v>76</v>
      </c>
      <c r="E34" s="45"/>
      <c r="F34" s="45"/>
    </row>
    <row r="35" spans="1:6" x14ac:dyDescent="0.35">
      <c r="A35" s="26">
        <v>42179</v>
      </c>
      <c r="B35" s="36" t="s">
        <v>24</v>
      </c>
      <c r="C35" s="11" t="s">
        <v>45</v>
      </c>
      <c r="D35" s="36" t="s">
        <v>51</v>
      </c>
      <c r="E35" s="45">
        <v>6500</v>
      </c>
      <c r="F35" s="45">
        <v>7800</v>
      </c>
    </row>
    <row r="36" spans="1:6" x14ac:dyDescent="0.35">
      <c r="A36" s="26">
        <v>42185</v>
      </c>
      <c r="B36" s="36" t="s">
        <v>71</v>
      </c>
      <c r="C36" s="11" t="s">
        <v>84</v>
      </c>
      <c r="D36" s="36" t="s">
        <v>78</v>
      </c>
      <c r="E36" s="45"/>
      <c r="F36" s="45"/>
    </row>
    <row r="37" spans="1:6" x14ac:dyDescent="0.35">
      <c r="A37" s="26">
        <v>42188</v>
      </c>
      <c r="B37" s="36" t="s">
        <v>73</v>
      </c>
      <c r="C37" s="50" t="s">
        <v>84</v>
      </c>
      <c r="D37" s="36" t="s">
        <v>81</v>
      </c>
      <c r="E37" s="45"/>
      <c r="F37" s="45"/>
    </row>
    <row r="38" spans="1:6" x14ac:dyDescent="0.35">
      <c r="A38" s="26">
        <v>42192</v>
      </c>
      <c r="B38" s="36" t="s">
        <v>36</v>
      </c>
      <c r="C38" s="22" t="s">
        <v>229</v>
      </c>
      <c r="D38" s="36" t="s">
        <v>63</v>
      </c>
      <c r="E38" s="45">
        <v>500</v>
      </c>
      <c r="F38" s="45">
        <v>600</v>
      </c>
    </row>
    <row r="39" spans="1:6" x14ac:dyDescent="0.35">
      <c r="A39" s="26">
        <v>42194</v>
      </c>
      <c r="B39" s="36" t="s">
        <v>46</v>
      </c>
      <c r="C39" s="11" t="s">
        <v>84</v>
      </c>
      <c r="D39" s="36" t="s">
        <v>77</v>
      </c>
      <c r="E39" s="45"/>
      <c r="F39" s="45"/>
    </row>
    <row r="40" spans="1:6" x14ac:dyDescent="0.35">
      <c r="A40" s="26">
        <v>42255</v>
      </c>
      <c r="B40" s="36" t="s">
        <v>30</v>
      </c>
      <c r="C40" s="31" t="s">
        <v>164</v>
      </c>
      <c r="D40" s="36" t="s">
        <v>57</v>
      </c>
      <c r="E40" s="45">
        <v>1400</v>
      </c>
      <c r="F40" s="45">
        <v>1680</v>
      </c>
    </row>
    <row r="41" spans="1:6" x14ac:dyDescent="0.35">
      <c r="A41" s="26">
        <v>42255</v>
      </c>
      <c r="B41" s="36" t="s">
        <v>30</v>
      </c>
      <c r="C41" s="22" t="s">
        <v>164</v>
      </c>
      <c r="D41" s="36" t="s">
        <v>57</v>
      </c>
      <c r="E41" s="45">
        <v>700</v>
      </c>
      <c r="F41" s="45">
        <v>840</v>
      </c>
    </row>
    <row r="42" spans="1:6" x14ac:dyDescent="0.35">
      <c r="A42" s="26">
        <v>42276</v>
      </c>
      <c r="B42" s="36" t="s">
        <v>40</v>
      </c>
      <c r="C42" s="11" t="s">
        <v>593</v>
      </c>
      <c r="D42" s="36" t="s">
        <v>67</v>
      </c>
      <c r="E42" s="45"/>
      <c r="F42" s="45"/>
    </row>
    <row r="43" spans="1:6" x14ac:dyDescent="0.35">
      <c r="A43" s="26">
        <v>42276</v>
      </c>
      <c r="B43" s="36" t="s">
        <v>40</v>
      </c>
      <c r="C43" s="50" t="s">
        <v>84</v>
      </c>
      <c r="D43" s="36" t="s">
        <v>82</v>
      </c>
      <c r="E43" s="45"/>
      <c r="F43" s="45"/>
    </row>
    <row r="44" spans="1:6" x14ac:dyDescent="0.35">
      <c r="A44" s="26">
        <v>42277</v>
      </c>
      <c r="B44" s="36" t="s">
        <v>33</v>
      </c>
      <c r="C44" s="31" t="s">
        <v>229</v>
      </c>
      <c r="D44" s="36" t="s">
        <v>60</v>
      </c>
      <c r="E44" s="45">
        <v>7000</v>
      </c>
      <c r="F44" s="45">
        <v>8400</v>
      </c>
    </row>
    <row r="45" spans="1:6" x14ac:dyDescent="0.35">
      <c r="A45" s="26">
        <v>42278</v>
      </c>
      <c r="B45" s="36" t="s">
        <v>28</v>
      </c>
      <c r="C45" s="31" t="s">
        <v>229</v>
      </c>
      <c r="D45" s="36" t="s">
        <v>55</v>
      </c>
      <c r="E45" s="45">
        <v>10000</v>
      </c>
      <c r="F45" s="45">
        <v>12000</v>
      </c>
    </row>
    <row r="46" spans="1:6" x14ac:dyDescent="0.35">
      <c r="A46" s="8">
        <v>42279</v>
      </c>
      <c r="B46" s="13" t="s">
        <v>85</v>
      </c>
      <c r="C46" s="11" t="s">
        <v>84</v>
      </c>
      <c r="D46" s="13" t="s">
        <v>593</v>
      </c>
      <c r="E46" s="45"/>
      <c r="F46" s="44"/>
    </row>
    <row r="47" spans="1:6" x14ac:dyDescent="0.35">
      <c r="A47" s="26">
        <v>42284</v>
      </c>
      <c r="B47" s="36" t="s">
        <v>70</v>
      </c>
      <c r="C47" s="11" t="s">
        <v>84</v>
      </c>
      <c r="D47" s="36" t="s">
        <v>75</v>
      </c>
      <c r="E47" s="45"/>
      <c r="F47" s="45"/>
    </row>
    <row r="48" spans="1:6" x14ac:dyDescent="0.35">
      <c r="A48" s="26">
        <v>42285</v>
      </c>
      <c r="B48" s="36" t="s">
        <v>25</v>
      </c>
      <c r="C48" s="22" t="s">
        <v>164</v>
      </c>
      <c r="D48" s="36" t="s">
        <v>52</v>
      </c>
      <c r="E48" s="45">
        <v>1320</v>
      </c>
      <c r="F48" s="45">
        <v>1584</v>
      </c>
    </row>
    <row r="49" spans="1:6" x14ac:dyDescent="0.35">
      <c r="A49" s="26">
        <v>42290</v>
      </c>
      <c r="B49" s="36" t="s">
        <v>38</v>
      </c>
      <c r="C49" s="22" t="s">
        <v>229</v>
      </c>
      <c r="D49" s="36" t="s">
        <v>65</v>
      </c>
      <c r="E49" s="45">
        <v>9200</v>
      </c>
      <c r="F49" s="45">
        <v>11040</v>
      </c>
    </row>
    <row r="50" spans="1:6" x14ac:dyDescent="0.35">
      <c r="A50" s="26">
        <v>42294</v>
      </c>
      <c r="B50" s="36" t="s">
        <v>37</v>
      </c>
      <c r="C50" s="22" t="s">
        <v>164</v>
      </c>
      <c r="D50" s="36" t="s">
        <v>64</v>
      </c>
      <c r="E50" s="45">
        <v>850</v>
      </c>
      <c r="F50" s="45">
        <v>1020</v>
      </c>
    </row>
    <row r="51" spans="1:6" x14ac:dyDescent="0.35">
      <c r="A51" s="26">
        <v>42296</v>
      </c>
      <c r="B51" s="36" t="s">
        <v>72</v>
      </c>
      <c r="C51" s="11" t="s">
        <v>84</v>
      </c>
      <c r="D51" s="36" t="s">
        <v>80</v>
      </c>
      <c r="E51" s="45"/>
      <c r="F51" s="45"/>
    </row>
    <row r="52" spans="1:6" x14ac:dyDescent="0.35">
      <c r="A52" s="26">
        <v>42322</v>
      </c>
      <c r="B52" s="36" t="s">
        <v>26</v>
      </c>
      <c r="C52" s="11" t="s">
        <v>1119</v>
      </c>
      <c r="D52" s="36" t="s">
        <v>53</v>
      </c>
      <c r="E52" s="45">
        <v>2000</v>
      </c>
      <c r="F52" s="45">
        <v>2400</v>
      </c>
    </row>
    <row r="53" spans="1:6" x14ac:dyDescent="0.35">
      <c r="A53" s="26">
        <v>42332</v>
      </c>
      <c r="B53" s="36" t="s">
        <v>34</v>
      </c>
      <c r="C53" s="11" t="s">
        <v>43</v>
      </c>
      <c r="D53" s="36" t="s">
        <v>61</v>
      </c>
      <c r="E53" s="45">
        <v>300</v>
      </c>
      <c r="F53" s="45">
        <v>360</v>
      </c>
    </row>
    <row r="54" spans="1:6" x14ac:dyDescent="0.35">
      <c r="A54" s="26">
        <v>42333</v>
      </c>
      <c r="B54" s="36" t="s">
        <v>41</v>
      </c>
      <c r="C54" s="22" t="s">
        <v>164</v>
      </c>
      <c r="D54" s="36" t="s">
        <v>68</v>
      </c>
      <c r="E54" s="45"/>
      <c r="F54" s="45"/>
    </row>
    <row r="55" spans="1:6" x14ac:dyDescent="0.35">
      <c r="A55" s="8">
        <v>42342</v>
      </c>
      <c r="B55" s="13" t="s">
        <v>85</v>
      </c>
      <c r="C55" s="11" t="s">
        <v>84</v>
      </c>
      <c r="D55" s="13" t="s">
        <v>593</v>
      </c>
      <c r="E55" s="45"/>
      <c r="F55" s="44"/>
    </row>
    <row r="56" spans="1:6" x14ac:dyDescent="0.35">
      <c r="A56" s="26">
        <v>42343</v>
      </c>
      <c r="B56" s="36" t="s">
        <v>35</v>
      </c>
      <c r="C56" s="11" t="s">
        <v>46</v>
      </c>
      <c r="D56" s="36" t="s">
        <v>62</v>
      </c>
      <c r="E56" s="45">
        <v>3300</v>
      </c>
      <c r="F56" s="45">
        <v>3960</v>
      </c>
    </row>
    <row r="57" spans="1:6" x14ac:dyDescent="0.35">
      <c r="A57" s="26">
        <v>42352</v>
      </c>
      <c r="B57" s="36" t="s">
        <v>39</v>
      </c>
      <c r="C57" s="22" t="s">
        <v>229</v>
      </c>
      <c r="D57" s="36" t="s">
        <v>66</v>
      </c>
      <c r="E57" s="45">
        <v>12750</v>
      </c>
      <c r="F57" s="45">
        <v>15300</v>
      </c>
    </row>
    <row r="58" spans="1:6" x14ac:dyDescent="0.35">
      <c r="A58" s="26">
        <v>42352</v>
      </c>
      <c r="B58" s="36" t="s">
        <v>39</v>
      </c>
      <c r="C58" s="22" t="s">
        <v>229</v>
      </c>
      <c r="D58" s="36" t="s">
        <v>66</v>
      </c>
      <c r="E58" s="45">
        <v>87.73</v>
      </c>
      <c r="F58" s="45">
        <v>104.74</v>
      </c>
    </row>
    <row r="59" spans="1:6" x14ac:dyDescent="0.35">
      <c r="A59" s="26">
        <v>42355</v>
      </c>
      <c r="B59" s="36" t="s">
        <v>74</v>
      </c>
      <c r="C59" s="11" t="s">
        <v>84</v>
      </c>
      <c r="D59" s="36" t="s">
        <v>83</v>
      </c>
      <c r="E59" s="45"/>
      <c r="F59" s="45"/>
    </row>
    <row r="60" spans="1:6" x14ac:dyDescent="0.35">
      <c r="A60" s="26">
        <v>42377</v>
      </c>
      <c r="B60" s="26" t="s">
        <v>115</v>
      </c>
      <c r="C60" s="54" t="s">
        <v>84</v>
      </c>
      <c r="D60" s="26" t="s">
        <v>115</v>
      </c>
      <c r="E60" s="45"/>
      <c r="F60" s="44"/>
    </row>
    <row r="61" spans="1:6" x14ac:dyDescent="0.35">
      <c r="A61" s="8">
        <v>42380</v>
      </c>
      <c r="B61" s="13" t="s">
        <v>149</v>
      </c>
      <c r="C61" s="9" t="s">
        <v>84</v>
      </c>
      <c r="D61" s="13" t="s">
        <v>593</v>
      </c>
      <c r="E61" s="45"/>
      <c r="F61" s="44"/>
    </row>
    <row r="62" spans="1:6" x14ac:dyDescent="0.35">
      <c r="A62" s="26">
        <v>42381</v>
      </c>
      <c r="B62" s="26" t="s">
        <v>116</v>
      </c>
      <c r="C62" s="9" t="s">
        <v>84</v>
      </c>
      <c r="D62" s="26" t="s">
        <v>116</v>
      </c>
      <c r="E62" s="45"/>
      <c r="F62" s="44"/>
    </row>
    <row r="63" spans="1:6" x14ac:dyDescent="0.35">
      <c r="A63" s="26">
        <v>42383</v>
      </c>
      <c r="B63" s="26" t="s">
        <v>117</v>
      </c>
      <c r="C63" s="54" t="s">
        <v>84</v>
      </c>
      <c r="D63" s="26" t="s">
        <v>117</v>
      </c>
      <c r="E63" s="45"/>
      <c r="F63" s="44"/>
    </row>
    <row r="64" spans="1:6" x14ac:dyDescent="0.35">
      <c r="A64" s="26">
        <v>42387</v>
      </c>
      <c r="B64" s="26" t="s">
        <v>118</v>
      </c>
      <c r="C64" s="9" t="s">
        <v>84</v>
      </c>
      <c r="D64" s="26" t="s">
        <v>118</v>
      </c>
      <c r="E64" s="45"/>
      <c r="F64" s="44"/>
    </row>
    <row r="65" spans="1:6" x14ac:dyDescent="0.35">
      <c r="A65" s="8">
        <v>42387</v>
      </c>
      <c r="B65" s="13" t="s">
        <v>149</v>
      </c>
      <c r="C65" s="54" t="s">
        <v>84</v>
      </c>
      <c r="D65" s="13" t="s">
        <v>593</v>
      </c>
      <c r="E65" s="45"/>
      <c r="F65" s="44"/>
    </row>
    <row r="66" spans="1:6" x14ac:dyDescent="0.35">
      <c r="A66" s="8">
        <v>42388</v>
      </c>
      <c r="B66" s="13" t="s">
        <v>147</v>
      </c>
      <c r="C66" s="9" t="s">
        <v>84</v>
      </c>
      <c r="D66" s="13" t="s">
        <v>593</v>
      </c>
      <c r="E66" s="45"/>
      <c r="F66" s="44"/>
    </row>
    <row r="67" spans="1:6" x14ac:dyDescent="0.35">
      <c r="A67" s="8">
        <v>42390</v>
      </c>
      <c r="B67" s="13" t="s">
        <v>148</v>
      </c>
      <c r="C67" s="54" t="s">
        <v>84</v>
      </c>
      <c r="D67" s="13" t="s">
        <v>593</v>
      </c>
      <c r="E67" s="45"/>
      <c r="F67" s="44"/>
    </row>
    <row r="68" spans="1:6" x14ac:dyDescent="0.35">
      <c r="A68" s="8">
        <v>42394</v>
      </c>
      <c r="B68" s="13" t="s">
        <v>149</v>
      </c>
      <c r="C68" s="9" t="s">
        <v>84</v>
      </c>
      <c r="D68" s="13" t="s">
        <v>593</v>
      </c>
      <c r="E68" s="45"/>
      <c r="F68" s="44"/>
    </row>
    <row r="69" spans="1:6" x14ac:dyDescent="0.35">
      <c r="A69" s="26">
        <v>42397</v>
      </c>
      <c r="B69" s="36" t="s">
        <v>86</v>
      </c>
      <c r="C69" s="31" t="s">
        <v>164</v>
      </c>
      <c r="D69" s="36" t="s">
        <v>165</v>
      </c>
      <c r="E69" s="45">
        <v>2890</v>
      </c>
      <c r="F69" s="45">
        <f>E69*1.2</f>
        <v>3468</v>
      </c>
    </row>
    <row r="70" spans="1:6" x14ac:dyDescent="0.35">
      <c r="A70" s="26">
        <v>42397</v>
      </c>
      <c r="B70" s="26" t="s">
        <v>119</v>
      </c>
      <c r="C70" s="54" t="s">
        <v>84</v>
      </c>
      <c r="D70" s="26" t="s">
        <v>119</v>
      </c>
      <c r="E70" s="45"/>
      <c r="F70" s="44"/>
    </row>
    <row r="71" spans="1:6" x14ac:dyDescent="0.35">
      <c r="A71" s="8">
        <v>42401</v>
      </c>
      <c r="B71" s="13" t="s">
        <v>149</v>
      </c>
      <c r="C71" s="54" t="s">
        <v>84</v>
      </c>
      <c r="D71" s="13" t="s">
        <v>593</v>
      </c>
      <c r="E71" s="45"/>
      <c r="F71" s="44"/>
    </row>
    <row r="72" spans="1:6" x14ac:dyDescent="0.35">
      <c r="A72" s="26">
        <v>42402</v>
      </c>
      <c r="B72" s="26" t="s">
        <v>120</v>
      </c>
      <c r="C72" s="9" t="s">
        <v>84</v>
      </c>
      <c r="D72" s="26" t="s">
        <v>120</v>
      </c>
      <c r="E72" s="45"/>
      <c r="F72" s="44"/>
    </row>
    <row r="73" spans="1:6" x14ac:dyDescent="0.35">
      <c r="A73" s="8">
        <v>42402</v>
      </c>
      <c r="B73" s="13" t="s">
        <v>147</v>
      </c>
      <c r="C73" s="9" t="s">
        <v>84</v>
      </c>
      <c r="D73" s="13" t="s">
        <v>593</v>
      </c>
      <c r="E73" s="45"/>
      <c r="F73" s="44"/>
    </row>
    <row r="74" spans="1:6" x14ac:dyDescent="0.35">
      <c r="A74" s="26">
        <v>42404</v>
      </c>
      <c r="B74" s="36" t="s">
        <v>87</v>
      </c>
      <c r="C74" s="22" t="s">
        <v>229</v>
      </c>
      <c r="D74" s="36" t="s">
        <v>166</v>
      </c>
      <c r="E74" s="45">
        <f>9300-1860</f>
        <v>7440</v>
      </c>
      <c r="F74" s="45">
        <f>E74*1.2</f>
        <v>8928</v>
      </c>
    </row>
    <row r="75" spans="1:6" x14ac:dyDescent="0.35">
      <c r="A75" s="26">
        <v>42405</v>
      </c>
      <c r="B75" s="36" t="s">
        <v>88</v>
      </c>
      <c r="C75" s="31" t="s">
        <v>164</v>
      </c>
      <c r="D75" s="36" t="s">
        <v>167</v>
      </c>
      <c r="E75" s="45">
        <v>1500</v>
      </c>
      <c r="F75" s="45">
        <f>E75*1.2</f>
        <v>1800</v>
      </c>
    </row>
    <row r="76" spans="1:6" x14ac:dyDescent="0.35">
      <c r="A76" s="26">
        <v>42405</v>
      </c>
      <c r="B76" s="26" t="s">
        <v>121</v>
      </c>
      <c r="C76" s="54" t="s">
        <v>84</v>
      </c>
      <c r="D76" s="26" t="s">
        <v>121</v>
      </c>
      <c r="E76" s="45"/>
      <c r="F76" s="44"/>
    </row>
    <row r="77" spans="1:6" x14ac:dyDescent="0.35">
      <c r="A77" s="8">
        <v>42408</v>
      </c>
      <c r="B77" s="13" t="s">
        <v>149</v>
      </c>
      <c r="C77" s="54" t="s">
        <v>84</v>
      </c>
      <c r="D77" s="13" t="s">
        <v>593</v>
      </c>
      <c r="E77" s="45"/>
      <c r="F77" s="44"/>
    </row>
    <row r="78" spans="1:6" x14ac:dyDescent="0.35">
      <c r="A78" s="8">
        <v>42409</v>
      </c>
      <c r="B78" s="13" t="s">
        <v>147</v>
      </c>
      <c r="C78" s="9" t="s">
        <v>84</v>
      </c>
      <c r="D78" s="13" t="s">
        <v>593</v>
      </c>
      <c r="E78" s="45"/>
      <c r="F78" s="44"/>
    </row>
    <row r="79" spans="1:6" x14ac:dyDescent="0.35">
      <c r="A79" s="26">
        <v>42412</v>
      </c>
      <c r="B79" s="26" t="s">
        <v>122</v>
      </c>
      <c r="C79" s="54" t="s">
        <v>84</v>
      </c>
      <c r="D79" s="26" t="s">
        <v>122</v>
      </c>
      <c r="E79" s="45"/>
      <c r="F79" s="44"/>
    </row>
    <row r="80" spans="1:6" x14ac:dyDescent="0.35">
      <c r="A80" s="8">
        <v>42415</v>
      </c>
      <c r="B80" s="13" t="s">
        <v>149</v>
      </c>
      <c r="C80" s="54" t="s">
        <v>84</v>
      </c>
      <c r="D80" s="13" t="s">
        <v>593</v>
      </c>
      <c r="E80" s="45"/>
      <c r="F80" s="44"/>
    </row>
    <row r="81" spans="1:6" x14ac:dyDescent="0.35">
      <c r="A81" s="8">
        <v>42416</v>
      </c>
      <c r="B81" s="13" t="s">
        <v>147</v>
      </c>
      <c r="C81" s="9" t="s">
        <v>84</v>
      </c>
      <c r="D81" s="13" t="s">
        <v>593</v>
      </c>
      <c r="E81" s="45"/>
      <c r="F81" s="44"/>
    </row>
    <row r="82" spans="1:6" x14ac:dyDescent="0.35">
      <c r="A82" s="8">
        <v>42422</v>
      </c>
      <c r="B82" s="13" t="s">
        <v>149</v>
      </c>
      <c r="C82" s="9" t="s">
        <v>84</v>
      </c>
      <c r="D82" s="13" t="s">
        <v>593</v>
      </c>
      <c r="E82" s="45"/>
      <c r="F82" s="44"/>
    </row>
    <row r="83" spans="1:6" x14ac:dyDescent="0.35">
      <c r="A83" s="26">
        <v>42429</v>
      </c>
      <c r="B83" s="26" t="s">
        <v>123</v>
      </c>
      <c r="C83" s="9" t="s">
        <v>84</v>
      </c>
      <c r="D83" s="26" t="s">
        <v>123</v>
      </c>
      <c r="E83" s="45"/>
      <c r="F83" s="44"/>
    </row>
    <row r="84" spans="1:6" x14ac:dyDescent="0.35">
      <c r="A84" s="26">
        <v>42433</v>
      </c>
      <c r="B84" s="36" t="s">
        <v>89</v>
      </c>
      <c r="C84" s="22" t="s">
        <v>164</v>
      </c>
      <c r="D84" s="36" t="s">
        <v>168</v>
      </c>
      <c r="E84" s="45"/>
      <c r="F84" s="45">
        <v>0</v>
      </c>
    </row>
    <row r="85" spans="1:6" x14ac:dyDescent="0.35">
      <c r="A85" s="8">
        <v>42436</v>
      </c>
      <c r="B85" s="13" t="s">
        <v>149</v>
      </c>
      <c r="C85" s="9" t="s">
        <v>84</v>
      </c>
      <c r="D85" s="13" t="s">
        <v>593</v>
      </c>
      <c r="E85" s="45"/>
      <c r="F85" s="44"/>
    </row>
    <row r="86" spans="1:6" x14ac:dyDescent="0.35">
      <c r="A86" s="8">
        <v>42437</v>
      </c>
      <c r="B86" s="13" t="s">
        <v>147</v>
      </c>
      <c r="C86" s="9" t="s">
        <v>84</v>
      </c>
      <c r="D86" s="13" t="s">
        <v>593</v>
      </c>
      <c r="E86" s="45"/>
      <c r="F86" s="44"/>
    </row>
    <row r="87" spans="1:6" x14ac:dyDescent="0.35">
      <c r="A87" s="8">
        <v>42440</v>
      </c>
      <c r="B87" s="13" t="s">
        <v>146</v>
      </c>
      <c r="C87" s="9" t="s">
        <v>84</v>
      </c>
      <c r="D87" s="13" t="s">
        <v>593</v>
      </c>
      <c r="E87" s="45"/>
      <c r="F87" s="44"/>
    </row>
    <row r="88" spans="1:6" x14ac:dyDescent="0.35">
      <c r="A88" s="8">
        <v>42440</v>
      </c>
      <c r="B88" s="13" t="s">
        <v>146</v>
      </c>
      <c r="C88" s="9" t="s">
        <v>84</v>
      </c>
      <c r="D88" s="13" t="s">
        <v>593</v>
      </c>
      <c r="E88" s="45"/>
      <c r="F88" s="44"/>
    </row>
    <row r="89" spans="1:6" x14ac:dyDescent="0.35">
      <c r="A89" s="26">
        <v>42441</v>
      </c>
      <c r="B89" s="36" t="s">
        <v>90</v>
      </c>
      <c r="C89" s="31" t="s">
        <v>229</v>
      </c>
      <c r="D89" s="36" t="s">
        <v>169</v>
      </c>
      <c r="E89" s="45">
        <v>11500</v>
      </c>
      <c r="F89" s="45">
        <f>E89*1.2</f>
        <v>13800</v>
      </c>
    </row>
    <row r="90" spans="1:6" x14ac:dyDescent="0.35">
      <c r="A90" s="26">
        <v>42442</v>
      </c>
      <c r="B90" s="36" t="s">
        <v>91</v>
      </c>
      <c r="C90" s="22" t="s">
        <v>164</v>
      </c>
      <c r="D90" s="36" t="s">
        <v>170</v>
      </c>
      <c r="E90" s="45">
        <v>2000</v>
      </c>
      <c r="F90" s="45">
        <f>E90*1.2</f>
        <v>2400</v>
      </c>
    </row>
    <row r="91" spans="1:6" x14ac:dyDescent="0.35">
      <c r="A91" s="26">
        <v>42443</v>
      </c>
      <c r="B91" s="26" t="s">
        <v>124</v>
      </c>
      <c r="C91" s="9" t="s">
        <v>84</v>
      </c>
      <c r="D91" s="26" t="s">
        <v>124</v>
      </c>
      <c r="E91" s="45"/>
      <c r="F91" s="44"/>
    </row>
    <row r="92" spans="1:6" x14ac:dyDescent="0.35">
      <c r="A92" s="26">
        <v>42443</v>
      </c>
      <c r="B92" s="26" t="s">
        <v>125</v>
      </c>
      <c r="C92" s="9" t="s">
        <v>84</v>
      </c>
      <c r="D92" s="26" t="s">
        <v>125</v>
      </c>
      <c r="E92" s="45"/>
      <c r="F92" s="44"/>
    </row>
    <row r="93" spans="1:6" x14ac:dyDescent="0.35">
      <c r="A93" s="26">
        <v>42445</v>
      </c>
      <c r="B93" s="26" t="s">
        <v>136</v>
      </c>
      <c r="C93" s="9" t="s">
        <v>84</v>
      </c>
      <c r="D93" s="26" t="s">
        <v>136</v>
      </c>
      <c r="E93" s="45"/>
      <c r="F93" s="44"/>
    </row>
    <row r="94" spans="1:6" x14ac:dyDescent="0.35">
      <c r="A94" s="8">
        <v>42446</v>
      </c>
      <c r="B94" s="13" t="s">
        <v>148</v>
      </c>
      <c r="C94" s="9" t="s">
        <v>84</v>
      </c>
      <c r="D94" s="13" t="s">
        <v>593</v>
      </c>
      <c r="E94" s="45"/>
      <c r="F94" s="44"/>
    </row>
    <row r="95" spans="1:6" x14ac:dyDescent="0.35">
      <c r="A95" s="8">
        <v>42450</v>
      </c>
      <c r="B95" s="13" t="s">
        <v>149</v>
      </c>
      <c r="C95" s="9" t="s">
        <v>84</v>
      </c>
      <c r="D95" s="13" t="s">
        <v>593</v>
      </c>
      <c r="E95" s="45"/>
      <c r="F95" s="44"/>
    </row>
    <row r="96" spans="1:6" x14ac:dyDescent="0.35">
      <c r="A96" s="26">
        <v>42451</v>
      </c>
      <c r="B96" s="26" t="s">
        <v>126</v>
      </c>
      <c r="C96" s="9" t="s">
        <v>84</v>
      </c>
      <c r="D96" s="26" t="s">
        <v>126</v>
      </c>
      <c r="E96" s="45"/>
      <c r="F96" s="44"/>
    </row>
    <row r="97" spans="1:6" x14ac:dyDescent="0.35">
      <c r="A97" s="26">
        <v>42453</v>
      </c>
      <c r="B97" s="26" t="s">
        <v>127</v>
      </c>
      <c r="C97" s="9" t="s">
        <v>84</v>
      </c>
      <c r="D97" s="26" t="s">
        <v>127</v>
      </c>
      <c r="E97" s="45"/>
      <c r="F97" s="44"/>
    </row>
    <row r="98" spans="1:6" x14ac:dyDescent="0.35">
      <c r="A98" s="8">
        <v>42457</v>
      </c>
      <c r="B98" s="13" t="s">
        <v>149</v>
      </c>
      <c r="C98" s="9" t="s">
        <v>84</v>
      </c>
      <c r="D98" s="13" t="s">
        <v>593</v>
      </c>
      <c r="E98" s="45"/>
      <c r="F98" s="44"/>
    </row>
    <row r="99" spans="1:6" x14ac:dyDescent="0.35">
      <c r="A99" s="8">
        <v>42458</v>
      </c>
      <c r="B99" s="13" t="s">
        <v>39</v>
      </c>
      <c r="C99" s="22" t="s">
        <v>229</v>
      </c>
      <c r="D99" s="13" t="s">
        <v>171</v>
      </c>
      <c r="E99" s="44">
        <v>3000</v>
      </c>
      <c r="F99" s="44">
        <f>E99*1.2</f>
        <v>3600</v>
      </c>
    </row>
    <row r="100" spans="1:6" x14ac:dyDescent="0.35">
      <c r="A100" s="8">
        <v>42458</v>
      </c>
      <c r="B100" s="13" t="s">
        <v>147</v>
      </c>
      <c r="C100" s="9" t="s">
        <v>84</v>
      </c>
      <c r="D100" s="13" t="s">
        <v>593</v>
      </c>
      <c r="E100" s="45"/>
      <c r="F100" s="44"/>
    </row>
    <row r="101" spans="1:6" x14ac:dyDescent="0.35">
      <c r="A101" s="26">
        <v>42460</v>
      </c>
      <c r="B101" s="26" t="s">
        <v>128</v>
      </c>
      <c r="C101" s="9" t="s">
        <v>84</v>
      </c>
      <c r="D101" s="26" t="s">
        <v>128</v>
      </c>
      <c r="E101" s="45"/>
      <c r="F101" s="44"/>
    </row>
    <row r="102" spans="1:6" x14ac:dyDescent="0.35">
      <c r="A102" s="26">
        <v>42461</v>
      </c>
      <c r="B102" s="26" t="s">
        <v>129</v>
      </c>
      <c r="C102" s="9" t="s">
        <v>84</v>
      </c>
      <c r="D102" s="26" t="s">
        <v>129</v>
      </c>
      <c r="E102" s="45"/>
      <c r="F102" s="44"/>
    </row>
    <row r="103" spans="1:6" x14ac:dyDescent="0.35">
      <c r="A103" s="26">
        <v>42466</v>
      </c>
      <c r="B103" s="26" t="s">
        <v>130</v>
      </c>
      <c r="C103" s="9" t="s">
        <v>84</v>
      </c>
      <c r="D103" s="26" t="s">
        <v>130</v>
      </c>
      <c r="E103" s="45"/>
      <c r="F103" s="44"/>
    </row>
    <row r="104" spans="1:6" x14ac:dyDescent="0.35">
      <c r="A104" s="8">
        <v>42471</v>
      </c>
      <c r="B104" s="13" t="s">
        <v>149</v>
      </c>
      <c r="C104" s="9" t="s">
        <v>84</v>
      </c>
      <c r="D104" s="13" t="s">
        <v>593</v>
      </c>
      <c r="E104" s="45"/>
      <c r="F104" s="44"/>
    </row>
    <row r="105" spans="1:6" x14ac:dyDescent="0.35">
      <c r="A105" s="8">
        <v>42472</v>
      </c>
      <c r="B105" s="13" t="s">
        <v>147</v>
      </c>
      <c r="C105" s="9" t="s">
        <v>84</v>
      </c>
      <c r="D105" s="13" t="s">
        <v>593</v>
      </c>
      <c r="E105" s="45"/>
      <c r="F105" s="44"/>
    </row>
    <row r="106" spans="1:6" x14ac:dyDescent="0.35">
      <c r="A106" s="26">
        <v>42473</v>
      </c>
      <c r="B106" s="36" t="s">
        <v>92</v>
      </c>
      <c r="C106" s="22" t="s">
        <v>164</v>
      </c>
      <c r="D106" s="36" t="s">
        <v>49</v>
      </c>
      <c r="E106" s="45">
        <v>2200</v>
      </c>
      <c r="F106" s="45">
        <f>E106*1.2</f>
        <v>2640</v>
      </c>
    </row>
    <row r="107" spans="1:6" x14ac:dyDescent="0.35">
      <c r="A107" s="26">
        <v>42475</v>
      </c>
      <c r="B107" s="26" t="s">
        <v>131</v>
      </c>
      <c r="C107" s="9" t="s">
        <v>84</v>
      </c>
      <c r="D107" s="26" t="s">
        <v>131</v>
      </c>
      <c r="E107" s="45"/>
      <c r="F107" s="44"/>
    </row>
    <row r="108" spans="1:6" x14ac:dyDescent="0.35">
      <c r="A108" s="8">
        <v>42478</v>
      </c>
      <c r="B108" s="13" t="s">
        <v>149</v>
      </c>
      <c r="C108" s="9" t="s">
        <v>84</v>
      </c>
      <c r="D108" s="13" t="s">
        <v>593</v>
      </c>
      <c r="E108" s="45"/>
      <c r="F108" s="44"/>
    </row>
    <row r="109" spans="1:6" x14ac:dyDescent="0.35">
      <c r="A109" s="26">
        <v>42479</v>
      </c>
      <c r="B109" s="26" t="s">
        <v>138</v>
      </c>
      <c r="C109" s="9" t="s">
        <v>84</v>
      </c>
      <c r="D109" s="26" t="s">
        <v>138</v>
      </c>
      <c r="E109" s="45"/>
      <c r="F109" s="44"/>
    </row>
    <row r="110" spans="1:6" x14ac:dyDescent="0.35">
      <c r="A110" s="8">
        <v>42481</v>
      </c>
      <c r="B110" s="13" t="s">
        <v>148</v>
      </c>
      <c r="C110" s="9" t="s">
        <v>84</v>
      </c>
      <c r="D110" s="13" t="s">
        <v>593</v>
      </c>
      <c r="E110" s="45"/>
      <c r="F110" s="44"/>
    </row>
    <row r="111" spans="1:6" x14ac:dyDescent="0.35">
      <c r="A111" s="26">
        <v>42482</v>
      </c>
      <c r="B111" s="26" t="s">
        <v>132</v>
      </c>
      <c r="C111" s="9" t="s">
        <v>84</v>
      </c>
      <c r="D111" s="26" t="s">
        <v>132</v>
      </c>
      <c r="E111" s="45"/>
      <c r="F111" s="44"/>
    </row>
    <row r="112" spans="1:6" x14ac:dyDescent="0.35">
      <c r="A112" s="8">
        <v>42485</v>
      </c>
      <c r="B112" s="13" t="s">
        <v>149</v>
      </c>
      <c r="C112" s="9" t="s">
        <v>84</v>
      </c>
      <c r="D112" s="13" t="s">
        <v>593</v>
      </c>
      <c r="E112" s="45"/>
      <c r="F112" s="44"/>
    </row>
    <row r="113" spans="1:6" x14ac:dyDescent="0.35">
      <c r="A113" s="26">
        <v>42488</v>
      </c>
      <c r="B113" s="26" t="s">
        <v>137</v>
      </c>
      <c r="C113" s="9" t="s">
        <v>84</v>
      </c>
      <c r="D113" s="26" t="s">
        <v>137</v>
      </c>
      <c r="E113" s="45"/>
      <c r="F113" s="44"/>
    </row>
    <row r="114" spans="1:6" x14ac:dyDescent="0.35">
      <c r="A114" s="8">
        <v>42492</v>
      </c>
      <c r="B114" s="13" t="s">
        <v>149</v>
      </c>
      <c r="C114" s="9" t="s">
        <v>84</v>
      </c>
      <c r="D114" s="13" t="s">
        <v>593</v>
      </c>
      <c r="E114" s="45"/>
      <c r="F114" s="44"/>
    </row>
    <row r="115" spans="1:6" x14ac:dyDescent="0.35">
      <c r="A115" s="8">
        <v>42493</v>
      </c>
      <c r="B115" s="13" t="s">
        <v>147</v>
      </c>
      <c r="C115" s="9" t="s">
        <v>84</v>
      </c>
      <c r="D115" s="13" t="s">
        <v>593</v>
      </c>
      <c r="E115" s="45"/>
      <c r="F115" s="44"/>
    </row>
    <row r="116" spans="1:6" x14ac:dyDescent="0.35">
      <c r="A116" s="8">
        <v>42499</v>
      </c>
      <c r="B116" s="13" t="s">
        <v>149</v>
      </c>
      <c r="C116" s="9" t="s">
        <v>84</v>
      </c>
      <c r="D116" s="13" t="s">
        <v>593</v>
      </c>
      <c r="E116" s="45"/>
      <c r="F116" s="44"/>
    </row>
    <row r="117" spans="1:6" x14ac:dyDescent="0.35">
      <c r="A117" s="8">
        <v>42500</v>
      </c>
      <c r="B117" s="13" t="s">
        <v>147</v>
      </c>
      <c r="C117" s="9" t="s">
        <v>84</v>
      </c>
      <c r="D117" s="13" t="s">
        <v>593</v>
      </c>
      <c r="E117" s="45"/>
      <c r="F117" s="44"/>
    </row>
    <row r="118" spans="1:6" x14ac:dyDescent="0.35">
      <c r="A118" s="26">
        <v>42501</v>
      </c>
      <c r="B118" s="26" t="s">
        <v>133</v>
      </c>
      <c r="C118" s="9" t="s">
        <v>84</v>
      </c>
      <c r="D118" s="26" t="s">
        <v>133</v>
      </c>
      <c r="E118" s="45"/>
      <c r="F118" s="44"/>
    </row>
    <row r="119" spans="1:6" x14ac:dyDescent="0.35">
      <c r="A119" s="8">
        <v>42506</v>
      </c>
      <c r="B119" s="13" t="s">
        <v>149</v>
      </c>
      <c r="C119" s="9" t="s">
        <v>84</v>
      </c>
      <c r="D119" s="13" t="s">
        <v>593</v>
      </c>
      <c r="E119" s="45"/>
      <c r="F119" s="44"/>
    </row>
    <row r="120" spans="1:6" x14ac:dyDescent="0.35">
      <c r="A120" s="26">
        <v>42509</v>
      </c>
      <c r="B120" s="26" t="s">
        <v>134</v>
      </c>
      <c r="C120" s="9" t="s">
        <v>84</v>
      </c>
      <c r="D120" s="26" t="s">
        <v>134</v>
      </c>
      <c r="E120" s="45"/>
      <c r="F120" s="44"/>
    </row>
    <row r="121" spans="1:6" x14ac:dyDescent="0.35">
      <c r="A121" s="26">
        <v>42509</v>
      </c>
      <c r="B121" s="26" t="s">
        <v>141</v>
      </c>
      <c r="C121" s="9" t="s">
        <v>84</v>
      </c>
      <c r="D121" s="26" t="s">
        <v>141</v>
      </c>
      <c r="E121" s="45"/>
      <c r="F121" s="44"/>
    </row>
    <row r="122" spans="1:6" x14ac:dyDescent="0.35">
      <c r="A122" s="8">
        <v>42509</v>
      </c>
      <c r="B122" s="13" t="s">
        <v>148</v>
      </c>
      <c r="C122" s="9" t="s">
        <v>84</v>
      </c>
      <c r="D122" s="13" t="s">
        <v>593</v>
      </c>
      <c r="E122" s="45"/>
      <c r="F122" s="44"/>
    </row>
    <row r="123" spans="1:6" x14ac:dyDescent="0.35">
      <c r="A123" s="8">
        <v>42513</v>
      </c>
      <c r="B123" s="13" t="s">
        <v>149</v>
      </c>
      <c r="C123" s="9" t="s">
        <v>84</v>
      </c>
      <c r="D123" s="13" t="s">
        <v>593</v>
      </c>
      <c r="E123" s="45"/>
      <c r="F123" s="44"/>
    </row>
    <row r="124" spans="1:6" x14ac:dyDescent="0.35">
      <c r="A124" s="8">
        <v>42514</v>
      </c>
      <c r="B124" s="13" t="s">
        <v>147</v>
      </c>
      <c r="C124" s="9" t="s">
        <v>84</v>
      </c>
      <c r="D124" s="13" t="s">
        <v>593</v>
      </c>
      <c r="E124" s="45"/>
      <c r="F124" s="44"/>
    </row>
    <row r="125" spans="1:6" x14ac:dyDescent="0.35">
      <c r="A125" s="8">
        <v>42516</v>
      </c>
      <c r="B125" s="13" t="s">
        <v>150</v>
      </c>
      <c r="C125" s="9" t="s">
        <v>84</v>
      </c>
      <c r="D125" s="13" t="s">
        <v>593</v>
      </c>
      <c r="E125" s="45"/>
      <c r="F125" s="44"/>
    </row>
    <row r="126" spans="1:6" x14ac:dyDescent="0.35">
      <c r="A126" s="8">
        <v>42517</v>
      </c>
      <c r="B126" s="13" t="s">
        <v>93</v>
      </c>
      <c r="C126" s="22" t="s">
        <v>229</v>
      </c>
      <c r="D126" s="13" t="s">
        <v>172</v>
      </c>
      <c r="E126" s="44">
        <v>1800</v>
      </c>
      <c r="F126" s="44">
        <f>E126*1.2</f>
        <v>2160</v>
      </c>
    </row>
    <row r="127" spans="1:6" x14ac:dyDescent="0.35">
      <c r="A127" s="8">
        <v>42520</v>
      </c>
      <c r="B127" s="13" t="s">
        <v>149</v>
      </c>
      <c r="C127" s="9" t="s">
        <v>84</v>
      </c>
      <c r="D127" s="13" t="s">
        <v>593</v>
      </c>
      <c r="E127" s="45"/>
      <c r="F127" s="44"/>
    </row>
    <row r="128" spans="1:6" x14ac:dyDescent="0.35">
      <c r="A128" s="8">
        <v>42520</v>
      </c>
      <c r="B128" s="13" t="s">
        <v>153</v>
      </c>
      <c r="C128" s="9" t="s">
        <v>84</v>
      </c>
      <c r="D128" s="13" t="s">
        <v>593</v>
      </c>
      <c r="E128" s="45"/>
      <c r="F128" s="44"/>
    </row>
    <row r="129" spans="1:6" x14ac:dyDescent="0.35">
      <c r="A129" s="8">
        <v>42521</v>
      </c>
      <c r="B129" s="13" t="s">
        <v>147</v>
      </c>
      <c r="C129" s="9" t="s">
        <v>84</v>
      </c>
      <c r="D129" s="13" t="s">
        <v>593</v>
      </c>
      <c r="E129" s="45"/>
      <c r="F129" s="44"/>
    </row>
    <row r="130" spans="1:6" x14ac:dyDescent="0.35">
      <c r="A130" s="8">
        <v>42524</v>
      </c>
      <c r="B130" s="13" t="s">
        <v>94</v>
      </c>
      <c r="C130" s="22" t="s">
        <v>164</v>
      </c>
      <c r="D130" s="13" t="s">
        <v>173</v>
      </c>
      <c r="E130" s="44"/>
      <c r="F130" s="44">
        <v>0</v>
      </c>
    </row>
    <row r="131" spans="1:6" x14ac:dyDescent="0.35">
      <c r="A131" s="8">
        <v>42527</v>
      </c>
      <c r="B131" s="13" t="s">
        <v>149</v>
      </c>
      <c r="C131" s="9" t="s">
        <v>84</v>
      </c>
      <c r="D131" s="13" t="s">
        <v>593</v>
      </c>
      <c r="E131" s="45"/>
      <c r="F131" s="44"/>
    </row>
    <row r="132" spans="1:6" x14ac:dyDescent="0.35">
      <c r="A132" s="8">
        <v>42528</v>
      </c>
      <c r="B132" s="13" t="s">
        <v>147</v>
      </c>
      <c r="C132" s="9" t="s">
        <v>84</v>
      </c>
      <c r="D132" s="13" t="s">
        <v>593</v>
      </c>
      <c r="E132" s="45"/>
      <c r="F132" s="44"/>
    </row>
    <row r="133" spans="1:6" x14ac:dyDescent="0.35">
      <c r="A133" s="8">
        <v>42530</v>
      </c>
      <c r="B133" s="13" t="s">
        <v>152</v>
      </c>
      <c r="C133" s="9" t="s">
        <v>84</v>
      </c>
      <c r="D133" s="13" t="s">
        <v>593</v>
      </c>
      <c r="E133" s="45"/>
      <c r="F133" s="44"/>
    </row>
    <row r="134" spans="1:6" x14ac:dyDescent="0.35">
      <c r="A134" s="8">
        <v>42531</v>
      </c>
      <c r="B134" s="13" t="s">
        <v>151</v>
      </c>
      <c r="C134" s="9" t="s">
        <v>84</v>
      </c>
      <c r="D134" s="13" t="s">
        <v>193</v>
      </c>
      <c r="E134" s="45"/>
      <c r="F134" s="44"/>
    </row>
    <row r="135" spans="1:6" x14ac:dyDescent="0.35">
      <c r="A135" s="8">
        <v>42534</v>
      </c>
      <c r="B135" s="13" t="s">
        <v>95</v>
      </c>
      <c r="C135" s="22" t="s">
        <v>229</v>
      </c>
      <c r="D135" s="13" t="s">
        <v>174</v>
      </c>
      <c r="E135" s="44">
        <v>3000</v>
      </c>
      <c r="F135" s="44">
        <f>E135*1.2</f>
        <v>3600</v>
      </c>
    </row>
    <row r="136" spans="1:6" x14ac:dyDescent="0.35">
      <c r="A136" s="26">
        <v>42534</v>
      </c>
      <c r="B136" s="26" t="s">
        <v>142</v>
      </c>
      <c r="C136" s="9" t="s">
        <v>84</v>
      </c>
      <c r="D136" s="26" t="s">
        <v>142</v>
      </c>
      <c r="E136" s="45"/>
      <c r="F136" s="44"/>
    </row>
    <row r="137" spans="1:6" x14ac:dyDescent="0.35">
      <c r="A137" s="8">
        <v>42534</v>
      </c>
      <c r="B137" s="13" t="s">
        <v>149</v>
      </c>
      <c r="C137" s="9" t="s">
        <v>84</v>
      </c>
      <c r="D137" s="13" t="s">
        <v>593</v>
      </c>
      <c r="E137" s="45"/>
      <c r="F137" s="44"/>
    </row>
    <row r="138" spans="1:6" x14ac:dyDescent="0.35">
      <c r="A138" s="26">
        <v>42536</v>
      </c>
      <c r="B138" s="26" t="s">
        <v>135</v>
      </c>
      <c r="C138" s="9" t="s">
        <v>84</v>
      </c>
      <c r="D138" s="26" t="s">
        <v>135</v>
      </c>
      <c r="E138" s="45"/>
      <c r="F138" s="44"/>
    </row>
    <row r="139" spans="1:6" x14ac:dyDescent="0.35">
      <c r="A139" s="8">
        <v>42537</v>
      </c>
      <c r="B139" s="13" t="s">
        <v>148</v>
      </c>
      <c r="C139" s="9" t="s">
        <v>84</v>
      </c>
      <c r="D139" s="13" t="s">
        <v>593</v>
      </c>
      <c r="E139" s="45"/>
      <c r="F139" s="44"/>
    </row>
    <row r="140" spans="1:6" x14ac:dyDescent="0.35">
      <c r="A140" s="8">
        <v>42537</v>
      </c>
      <c r="B140" s="13" t="s">
        <v>154</v>
      </c>
      <c r="C140" s="9" t="s">
        <v>84</v>
      </c>
      <c r="D140" s="13" t="s">
        <v>593</v>
      </c>
      <c r="E140" s="45"/>
      <c r="F140" s="44"/>
    </row>
    <row r="141" spans="1:6" x14ac:dyDescent="0.35">
      <c r="A141" s="8">
        <v>42538</v>
      </c>
      <c r="B141" s="13" t="s">
        <v>146</v>
      </c>
      <c r="C141" s="9" t="s">
        <v>84</v>
      </c>
      <c r="D141" s="13" t="s">
        <v>593</v>
      </c>
      <c r="E141" s="45"/>
      <c r="F141" s="44"/>
    </row>
    <row r="142" spans="1:6" x14ac:dyDescent="0.35">
      <c r="A142" s="8">
        <v>42538</v>
      </c>
      <c r="B142" s="13" t="s">
        <v>146</v>
      </c>
      <c r="C142" s="9" t="s">
        <v>84</v>
      </c>
      <c r="D142" s="13" t="s">
        <v>593</v>
      </c>
      <c r="E142" s="45"/>
      <c r="F142" s="44"/>
    </row>
    <row r="143" spans="1:6" x14ac:dyDescent="0.35">
      <c r="A143" s="8">
        <v>42541</v>
      </c>
      <c r="B143" s="13" t="s">
        <v>149</v>
      </c>
      <c r="C143" s="9" t="s">
        <v>84</v>
      </c>
      <c r="D143" s="13" t="s">
        <v>593</v>
      </c>
      <c r="E143" s="45"/>
      <c r="F143" s="44"/>
    </row>
    <row r="144" spans="1:6" x14ac:dyDescent="0.35">
      <c r="A144" s="8">
        <v>42542</v>
      </c>
      <c r="B144" s="13" t="s">
        <v>96</v>
      </c>
      <c r="C144" s="22" t="s">
        <v>229</v>
      </c>
      <c r="D144" s="13" t="s">
        <v>175</v>
      </c>
      <c r="E144" s="44">
        <v>1800</v>
      </c>
      <c r="F144" s="44">
        <f>E144*1.2</f>
        <v>2160</v>
      </c>
    </row>
    <row r="145" spans="1:6" x14ac:dyDescent="0.35">
      <c r="A145" s="8">
        <v>42544</v>
      </c>
      <c r="B145" s="13" t="s">
        <v>155</v>
      </c>
      <c r="C145" s="9" t="s">
        <v>84</v>
      </c>
      <c r="D145" s="13" t="s">
        <v>194</v>
      </c>
      <c r="E145" s="45"/>
      <c r="F145" s="44"/>
    </row>
    <row r="146" spans="1:6" x14ac:dyDescent="0.35">
      <c r="A146" s="8">
        <v>42545</v>
      </c>
      <c r="B146" s="13" t="s">
        <v>156</v>
      </c>
      <c r="C146" s="9" t="s">
        <v>84</v>
      </c>
      <c r="D146" s="13" t="s">
        <v>593</v>
      </c>
      <c r="E146" s="45"/>
      <c r="F146" s="44"/>
    </row>
    <row r="147" spans="1:6" x14ac:dyDescent="0.35">
      <c r="A147" s="8">
        <v>42548</v>
      </c>
      <c r="B147" s="13" t="s">
        <v>149</v>
      </c>
      <c r="C147" s="9" t="s">
        <v>84</v>
      </c>
      <c r="D147" s="13" t="s">
        <v>593</v>
      </c>
      <c r="E147" s="45"/>
      <c r="F147" s="44"/>
    </row>
    <row r="148" spans="1:6" x14ac:dyDescent="0.35">
      <c r="A148" s="8">
        <v>42549</v>
      </c>
      <c r="B148" s="13" t="s">
        <v>147</v>
      </c>
      <c r="C148" s="9" t="s">
        <v>84</v>
      </c>
      <c r="D148" s="13" t="s">
        <v>593</v>
      </c>
      <c r="E148" s="45"/>
      <c r="F148" s="44"/>
    </row>
    <row r="149" spans="1:6" x14ac:dyDescent="0.35">
      <c r="A149" s="8">
        <v>42550</v>
      </c>
      <c r="B149" s="13" t="s">
        <v>97</v>
      </c>
      <c r="C149" s="22" t="s">
        <v>229</v>
      </c>
      <c r="D149" s="13" t="s">
        <v>176</v>
      </c>
      <c r="E149" s="44">
        <f>9300-1860</f>
        <v>7440</v>
      </c>
      <c r="F149" s="44">
        <f>E149*1.2</f>
        <v>8928</v>
      </c>
    </row>
    <row r="150" spans="1:6" x14ac:dyDescent="0.35">
      <c r="A150" s="8">
        <v>42555</v>
      </c>
      <c r="B150" s="13" t="s">
        <v>149</v>
      </c>
      <c r="C150" s="9" t="s">
        <v>84</v>
      </c>
      <c r="D150" s="13" t="s">
        <v>593</v>
      </c>
      <c r="E150" s="45"/>
      <c r="F150" s="44"/>
    </row>
    <row r="151" spans="1:6" x14ac:dyDescent="0.35">
      <c r="A151" s="8">
        <v>42557</v>
      </c>
      <c r="B151" s="13" t="s">
        <v>138</v>
      </c>
      <c r="C151" s="9" t="s">
        <v>84</v>
      </c>
      <c r="D151" s="13" t="s">
        <v>195</v>
      </c>
      <c r="E151" s="45"/>
      <c r="F151" s="44"/>
    </row>
    <row r="152" spans="1:6" x14ac:dyDescent="0.35">
      <c r="A152" s="8">
        <v>42562</v>
      </c>
      <c r="B152" s="13" t="s">
        <v>149</v>
      </c>
      <c r="C152" s="9" t="s">
        <v>84</v>
      </c>
      <c r="D152" s="13" t="s">
        <v>593</v>
      </c>
      <c r="E152" s="45"/>
      <c r="F152" s="44"/>
    </row>
    <row r="153" spans="1:6" x14ac:dyDescent="0.35">
      <c r="A153" s="8">
        <v>42618</v>
      </c>
      <c r="B153" s="13" t="s">
        <v>149</v>
      </c>
      <c r="C153" s="9" t="s">
        <v>84</v>
      </c>
      <c r="D153" s="13" t="s">
        <v>593</v>
      </c>
      <c r="E153" s="45"/>
      <c r="F153" s="44"/>
    </row>
    <row r="154" spans="1:6" x14ac:dyDescent="0.35">
      <c r="A154" s="26">
        <v>42622</v>
      </c>
      <c r="B154" s="36" t="s">
        <v>98</v>
      </c>
      <c r="C154" s="22" t="s">
        <v>164</v>
      </c>
      <c r="D154" s="36" t="s">
        <v>177</v>
      </c>
      <c r="E154" s="45">
        <v>4000</v>
      </c>
      <c r="F154" s="45">
        <f>E154*1.2</f>
        <v>4800</v>
      </c>
    </row>
    <row r="155" spans="1:6" x14ac:dyDescent="0.35">
      <c r="A155" s="8">
        <v>42627</v>
      </c>
      <c r="B155" s="13" t="s">
        <v>157</v>
      </c>
      <c r="C155" s="9" t="s">
        <v>84</v>
      </c>
      <c r="D155" s="13" t="s">
        <v>593</v>
      </c>
      <c r="E155" s="45"/>
      <c r="F155" s="44"/>
    </row>
    <row r="156" spans="1:6" x14ac:dyDescent="0.35">
      <c r="A156" s="8">
        <v>42628</v>
      </c>
      <c r="B156" s="13" t="s">
        <v>148</v>
      </c>
      <c r="C156" s="9" t="s">
        <v>84</v>
      </c>
      <c r="D156" s="13" t="s">
        <v>593</v>
      </c>
      <c r="E156" s="45"/>
      <c r="F156" s="44"/>
    </row>
    <row r="157" spans="1:6" x14ac:dyDescent="0.35">
      <c r="A157" s="8">
        <v>42629</v>
      </c>
      <c r="B157" s="13" t="s">
        <v>99</v>
      </c>
      <c r="C157" s="22" t="s">
        <v>164</v>
      </c>
      <c r="D157" s="13" t="s">
        <v>178</v>
      </c>
      <c r="E157" s="44"/>
      <c r="F157" s="44">
        <v>0</v>
      </c>
    </row>
    <row r="158" spans="1:6" x14ac:dyDescent="0.35">
      <c r="A158" s="8">
        <v>42635</v>
      </c>
      <c r="B158" s="13" t="s">
        <v>143</v>
      </c>
      <c r="C158" s="9" t="s">
        <v>84</v>
      </c>
      <c r="D158" s="13" t="s">
        <v>143</v>
      </c>
      <c r="E158" s="45"/>
      <c r="F158" s="44"/>
    </row>
    <row r="159" spans="1:6" x14ac:dyDescent="0.35">
      <c r="A159" s="8">
        <v>42639</v>
      </c>
      <c r="B159" s="13" t="s">
        <v>100</v>
      </c>
      <c r="C159" s="22" t="s">
        <v>164</v>
      </c>
      <c r="D159" s="13" t="s">
        <v>179</v>
      </c>
      <c r="E159" s="44">
        <v>2220</v>
      </c>
      <c r="F159" s="44">
        <f>E159*1.2</f>
        <v>2664</v>
      </c>
    </row>
    <row r="160" spans="1:6" x14ac:dyDescent="0.35">
      <c r="A160" s="8">
        <v>42642</v>
      </c>
      <c r="B160" s="13" t="s">
        <v>143</v>
      </c>
      <c r="C160" s="9" t="s">
        <v>84</v>
      </c>
      <c r="D160" s="13" t="s">
        <v>143</v>
      </c>
      <c r="E160" s="45"/>
      <c r="F160" s="44"/>
    </row>
    <row r="161" spans="1:6" x14ac:dyDescent="0.35">
      <c r="A161" s="8">
        <v>42646</v>
      </c>
      <c r="B161" s="13" t="s">
        <v>149</v>
      </c>
      <c r="C161" s="9" t="s">
        <v>84</v>
      </c>
      <c r="D161" s="13" t="s">
        <v>593</v>
      </c>
      <c r="E161" s="45"/>
      <c r="F161" s="44"/>
    </row>
    <row r="162" spans="1:6" x14ac:dyDescent="0.35">
      <c r="A162" s="8">
        <v>42653</v>
      </c>
      <c r="B162" s="13" t="s">
        <v>101</v>
      </c>
      <c r="C162" s="22" t="s">
        <v>229</v>
      </c>
      <c r="D162" s="13" t="s">
        <v>180</v>
      </c>
      <c r="E162" s="44">
        <v>6000</v>
      </c>
      <c r="F162" s="44">
        <f>E162*1.2</f>
        <v>7200</v>
      </c>
    </row>
    <row r="163" spans="1:6" x14ac:dyDescent="0.35">
      <c r="A163" s="8">
        <v>42653</v>
      </c>
      <c r="B163" s="13" t="s">
        <v>149</v>
      </c>
      <c r="C163" s="9" t="s">
        <v>84</v>
      </c>
      <c r="D163" s="13" t="s">
        <v>593</v>
      </c>
      <c r="E163" s="45"/>
      <c r="F163" s="44"/>
    </row>
    <row r="164" spans="1:6" x14ac:dyDescent="0.35">
      <c r="A164" s="26">
        <v>42654</v>
      </c>
      <c r="B164" s="26" t="s">
        <v>139</v>
      </c>
      <c r="C164" s="9" t="s">
        <v>84</v>
      </c>
      <c r="D164" s="26" t="s">
        <v>139</v>
      </c>
      <c r="E164" s="45"/>
      <c r="F164" s="44"/>
    </row>
    <row r="165" spans="1:6" x14ac:dyDescent="0.35">
      <c r="A165" s="8">
        <v>42656</v>
      </c>
      <c r="B165" s="13" t="s">
        <v>102</v>
      </c>
      <c r="C165" s="22" t="s">
        <v>229</v>
      </c>
      <c r="D165" s="13" t="s">
        <v>55</v>
      </c>
      <c r="E165" s="44">
        <v>9350</v>
      </c>
      <c r="F165" s="44">
        <f>E165*1.2</f>
        <v>11220</v>
      </c>
    </row>
    <row r="166" spans="1:6" x14ac:dyDescent="0.35">
      <c r="A166" s="8">
        <v>42657</v>
      </c>
      <c r="B166" s="13" t="s">
        <v>146</v>
      </c>
      <c r="C166" s="9" t="s">
        <v>84</v>
      </c>
      <c r="D166" s="13" t="s">
        <v>593</v>
      </c>
      <c r="E166" s="45"/>
      <c r="F166" s="44"/>
    </row>
    <row r="167" spans="1:6" x14ac:dyDescent="0.35">
      <c r="A167" s="8">
        <v>42660</v>
      </c>
      <c r="B167" s="13" t="s">
        <v>149</v>
      </c>
      <c r="C167" s="9" t="s">
        <v>84</v>
      </c>
      <c r="D167" s="13" t="s">
        <v>593</v>
      </c>
      <c r="E167" s="45"/>
      <c r="F167" s="44"/>
    </row>
    <row r="168" spans="1:6" x14ac:dyDescent="0.35">
      <c r="A168" s="8">
        <v>42661</v>
      </c>
      <c r="B168" s="13" t="s">
        <v>103</v>
      </c>
      <c r="C168" s="22" t="s">
        <v>229</v>
      </c>
      <c r="D168" s="13" t="s">
        <v>181</v>
      </c>
      <c r="E168" s="44">
        <v>6000</v>
      </c>
      <c r="F168" s="44">
        <f>E168*1.2</f>
        <v>7200</v>
      </c>
    </row>
    <row r="169" spans="1:6" x14ac:dyDescent="0.35">
      <c r="A169" s="8">
        <v>42661</v>
      </c>
      <c r="B169" s="13" t="s">
        <v>145</v>
      </c>
      <c r="C169" s="9" t="s">
        <v>84</v>
      </c>
      <c r="D169" s="13" t="s">
        <v>145</v>
      </c>
      <c r="E169" s="45"/>
      <c r="F169" s="44"/>
    </row>
    <row r="170" spans="1:6" x14ac:dyDescent="0.35">
      <c r="A170" s="8">
        <v>42662</v>
      </c>
      <c r="B170" s="13" t="s">
        <v>104</v>
      </c>
      <c r="C170" s="22" t="s">
        <v>164</v>
      </c>
      <c r="D170" s="13" t="s">
        <v>182</v>
      </c>
      <c r="E170" s="44">
        <v>4000</v>
      </c>
      <c r="F170" s="44">
        <f>E170*1.2</f>
        <v>4800</v>
      </c>
    </row>
    <row r="171" spans="1:6" x14ac:dyDescent="0.35">
      <c r="A171" s="8">
        <v>42663</v>
      </c>
      <c r="B171" s="13" t="s">
        <v>148</v>
      </c>
      <c r="C171" s="9" t="s">
        <v>84</v>
      </c>
      <c r="D171" s="13" t="s">
        <v>593</v>
      </c>
      <c r="E171" s="45"/>
      <c r="F171" s="44"/>
    </row>
    <row r="172" spans="1:6" x14ac:dyDescent="0.35">
      <c r="A172" s="8">
        <v>42667</v>
      </c>
      <c r="B172" s="13" t="s">
        <v>149</v>
      </c>
      <c r="C172" s="9" t="s">
        <v>84</v>
      </c>
      <c r="D172" s="13" t="s">
        <v>593</v>
      </c>
      <c r="E172" s="45"/>
      <c r="F172" s="44"/>
    </row>
    <row r="173" spans="1:6" x14ac:dyDescent="0.35">
      <c r="A173" s="8">
        <v>42668</v>
      </c>
      <c r="B173" s="13" t="s">
        <v>105</v>
      </c>
      <c r="C173" s="22" t="s">
        <v>229</v>
      </c>
      <c r="D173" s="13" t="s">
        <v>183</v>
      </c>
      <c r="E173" s="44">
        <v>1800</v>
      </c>
      <c r="F173" s="44">
        <f>E173*1.2</f>
        <v>2160</v>
      </c>
    </row>
    <row r="174" spans="1:6" x14ac:dyDescent="0.35">
      <c r="A174" s="8">
        <v>42669</v>
      </c>
      <c r="B174" s="13" t="s">
        <v>106</v>
      </c>
      <c r="C174" s="22" t="s">
        <v>229</v>
      </c>
      <c r="D174" s="13" t="s">
        <v>184</v>
      </c>
      <c r="E174" s="44">
        <v>9300</v>
      </c>
      <c r="F174" s="44">
        <f>E174*1.2</f>
        <v>11160</v>
      </c>
    </row>
    <row r="175" spans="1:6" x14ac:dyDescent="0.35">
      <c r="A175" s="8">
        <v>42670</v>
      </c>
      <c r="B175" s="13" t="s">
        <v>158</v>
      </c>
      <c r="C175" s="9" t="s">
        <v>84</v>
      </c>
      <c r="D175" s="13" t="s">
        <v>593</v>
      </c>
      <c r="E175" s="45"/>
      <c r="F175" s="44"/>
    </row>
    <row r="176" spans="1:6" x14ac:dyDescent="0.35">
      <c r="A176" s="8">
        <v>42674</v>
      </c>
      <c r="B176" s="13" t="s">
        <v>149</v>
      </c>
      <c r="C176" s="9" t="s">
        <v>84</v>
      </c>
      <c r="D176" s="13" t="s">
        <v>593</v>
      </c>
      <c r="E176" s="45"/>
      <c r="F176" s="44"/>
    </row>
    <row r="177" spans="1:6" x14ac:dyDescent="0.35">
      <c r="A177" s="8">
        <v>42677</v>
      </c>
      <c r="B177" s="13" t="s">
        <v>107</v>
      </c>
      <c r="C177" s="22" t="s">
        <v>164</v>
      </c>
      <c r="D177" s="13" t="s">
        <v>185</v>
      </c>
      <c r="E177" s="44">
        <v>6000</v>
      </c>
      <c r="F177" s="44">
        <f>E177*1.2</f>
        <v>7200</v>
      </c>
    </row>
    <row r="178" spans="1:6" x14ac:dyDescent="0.35">
      <c r="A178" s="8">
        <v>42681</v>
      </c>
      <c r="B178" s="13" t="s">
        <v>149</v>
      </c>
      <c r="C178" s="9" t="s">
        <v>84</v>
      </c>
      <c r="D178" s="13" t="s">
        <v>593</v>
      </c>
      <c r="E178" s="45"/>
      <c r="F178" s="44"/>
    </row>
    <row r="179" spans="1:6" x14ac:dyDescent="0.35">
      <c r="A179" s="26">
        <v>42684</v>
      </c>
      <c r="B179" s="36" t="s">
        <v>108</v>
      </c>
      <c r="C179" s="22" t="s">
        <v>164</v>
      </c>
      <c r="D179" s="36" t="s">
        <v>186</v>
      </c>
      <c r="E179" s="45">
        <v>2200</v>
      </c>
      <c r="F179" s="45">
        <f>E179*1.2</f>
        <v>2640</v>
      </c>
    </row>
    <row r="180" spans="1:6" x14ac:dyDescent="0.35">
      <c r="A180" s="26">
        <v>42688</v>
      </c>
      <c r="B180" s="26" t="s">
        <v>140</v>
      </c>
      <c r="C180" s="9" t="s">
        <v>84</v>
      </c>
      <c r="D180" s="26" t="s">
        <v>140</v>
      </c>
      <c r="E180" s="45"/>
      <c r="F180" s="44"/>
    </row>
    <row r="181" spans="1:6" x14ac:dyDescent="0.35">
      <c r="A181" s="8">
        <v>42688</v>
      </c>
      <c r="B181" s="13" t="s">
        <v>149</v>
      </c>
      <c r="C181" s="9" t="s">
        <v>84</v>
      </c>
      <c r="D181" s="13" t="s">
        <v>593</v>
      </c>
      <c r="E181" s="45"/>
      <c r="F181" s="44"/>
    </row>
    <row r="182" spans="1:6" x14ac:dyDescent="0.35">
      <c r="A182" s="8">
        <v>42690</v>
      </c>
      <c r="B182" s="13" t="s">
        <v>157</v>
      </c>
      <c r="C182" s="9" t="s">
        <v>84</v>
      </c>
      <c r="D182" s="13" t="s">
        <v>593</v>
      </c>
      <c r="E182" s="45"/>
      <c r="F182" s="44"/>
    </row>
    <row r="183" spans="1:6" x14ac:dyDescent="0.35">
      <c r="A183" s="8">
        <v>42691</v>
      </c>
      <c r="B183" s="13" t="s">
        <v>109</v>
      </c>
      <c r="C183" s="22" t="s">
        <v>164</v>
      </c>
      <c r="D183" s="13" t="s">
        <v>187</v>
      </c>
      <c r="E183" s="44">
        <v>8000</v>
      </c>
      <c r="F183" s="44">
        <f>E183*1.2</f>
        <v>9600</v>
      </c>
    </row>
    <row r="184" spans="1:6" x14ac:dyDescent="0.35">
      <c r="A184" s="8">
        <v>42691</v>
      </c>
      <c r="B184" s="13" t="s">
        <v>144</v>
      </c>
      <c r="C184" s="9" t="s">
        <v>84</v>
      </c>
      <c r="D184" s="13" t="s">
        <v>144</v>
      </c>
      <c r="E184" s="45"/>
      <c r="F184" s="44"/>
    </row>
    <row r="185" spans="1:6" x14ac:dyDescent="0.35">
      <c r="A185" s="8">
        <v>42691</v>
      </c>
      <c r="B185" s="13" t="s">
        <v>148</v>
      </c>
      <c r="C185" s="9" t="s">
        <v>84</v>
      </c>
      <c r="D185" s="13" t="s">
        <v>593</v>
      </c>
      <c r="E185" s="45"/>
      <c r="F185" s="44"/>
    </row>
    <row r="186" spans="1:6" x14ac:dyDescent="0.35">
      <c r="A186" s="8">
        <v>42694</v>
      </c>
      <c r="B186" s="13" t="s">
        <v>110</v>
      </c>
      <c r="C186" s="22" t="s">
        <v>164</v>
      </c>
      <c r="D186" s="13" t="s">
        <v>188</v>
      </c>
      <c r="E186" s="44">
        <v>6000</v>
      </c>
      <c r="F186" s="44">
        <f>E186*1.2</f>
        <v>7200</v>
      </c>
    </row>
    <row r="187" spans="1:6" x14ac:dyDescent="0.35">
      <c r="A187" s="8">
        <v>42695</v>
      </c>
      <c r="B187" s="13" t="s">
        <v>149</v>
      </c>
      <c r="C187" s="9" t="s">
        <v>84</v>
      </c>
      <c r="D187" s="13" t="s">
        <v>593</v>
      </c>
      <c r="E187" s="45"/>
      <c r="F187" s="44"/>
    </row>
    <row r="188" spans="1:6" x14ac:dyDescent="0.35">
      <c r="A188" s="8">
        <v>42696</v>
      </c>
      <c r="B188" s="13" t="s">
        <v>111</v>
      </c>
      <c r="C188" s="22" t="s">
        <v>164</v>
      </c>
      <c r="D188" s="13" t="s">
        <v>189</v>
      </c>
      <c r="E188" s="44">
        <v>300</v>
      </c>
      <c r="F188" s="44">
        <f>E188*1.2</f>
        <v>360</v>
      </c>
    </row>
    <row r="189" spans="1:6" x14ac:dyDescent="0.35">
      <c r="A189" s="8">
        <v>42698</v>
      </c>
      <c r="B189" s="13" t="s">
        <v>41</v>
      </c>
      <c r="C189" s="22" t="s">
        <v>164</v>
      </c>
      <c r="D189" s="13" t="s">
        <v>68</v>
      </c>
      <c r="E189" s="45"/>
      <c r="F189" s="44" t="s">
        <v>69</v>
      </c>
    </row>
    <row r="190" spans="1:6" x14ac:dyDescent="0.35">
      <c r="A190" s="26">
        <v>42698</v>
      </c>
      <c r="B190" s="26" t="s">
        <v>41</v>
      </c>
      <c r="C190" s="9" t="s">
        <v>84</v>
      </c>
      <c r="D190" s="26" t="s">
        <v>41</v>
      </c>
      <c r="E190" s="45"/>
      <c r="F190" s="44"/>
    </row>
    <row r="191" spans="1:6" x14ac:dyDescent="0.35">
      <c r="A191" s="8">
        <v>42699</v>
      </c>
      <c r="B191" s="13" t="s">
        <v>159</v>
      </c>
      <c r="C191" s="9" t="s">
        <v>84</v>
      </c>
      <c r="D191" s="13" t="s">
        <v>593</v>
      </c>
      <c r="E191" s="45"/>
      <c r="F191" s="44"/>
    </row>
    <row r="192" spans="1:6" x14ac:dyDescent="0.35">
      <c r="A192" s="8">
        <v>42701</v>
      </c>
      <c r="B192" s="13" t="s">
        <v>160</v>
      </c>
      <c r="C192" s="9" t="s">
        <v>84</v>
      </c>
      <c r="D192" s="13" t="s">
        <v>196</v>
      </c>
      <c r="E192" s="45"/>
      <c r="F192" s="44"/>
    </row>
    <row r="193" spans="1:6" x14ac:dyDescent="0.35">
      <c r="A193" s="8">
        <v>42702</v>
      </c>
      <c r="B193" s="13" t="s">
        <v>149</v>
      </c>
      <c r="C193" s="9" t="s">
        <v>84</v>
      </c>
      <c r="D193" s="13" t="s">
        <v>593</v>
      </c>
      <c r="E193" s="45"/>
      <c r="F193" s="44"/>
    </row>
    <row r="194" spans="1:6" x14ac:dyDescent="0.35">
      <c r="A194" s="8">
        <v>42704</v>
      </c>
      <c r="B194" s="13" t="s">
        <v>161</v>
      </c>
      <c r="C194" s="9" t="s">
        <v>84</v>
      </c>
      <c r="D194" s="13" t="s">
        <v>593</v>
      </c>
      <c r="E194" s="45"/>
      <c r="F194" s="44"/>
    </row>
    <row r="195" spans="1:6" x14ac:dyDescent="0.35">
      <c r="A195" s="8">
        <v>42707</v>
      </c>
      <c r="B195" s="13" t="s">
        <v>112</v>
      </c>
      <c r="C195" s="22" t="s">
        <v>164</v>
      </c>
      <c r="D195" s="13" t="s">
        <v>190</v>
      </c>
      <c r="E195" s="44">
        <f>3000</f>
        <v>3000</v>
      </c>
      <c r="F195" s="44">
        <f>E195*1.2</f>
        <v>3600</v>
      </c>
    </row>
    <row r="196" spans="1:6" x14ac:dyDescent="0.35">
      <c r="A196" s="8">
        <v>42709</v>
      </c>
      <c r="B196" s="13" t="s">
        <v>113</v>
      </c>
      <c r="C196" s="22" t="s">
        <v>164</v>
      </c>
      <c r="D196" s="13" t="s">
        <v>191</v>
      </c>
      <c r="E196" s="44">
        <v>2400</v>
      </c>
      <c r="F196" s="44">
        <f>E196*1.2</f>
        <v>2880</v>
      </c>
    </row>
    <row r="197" spans="1:6" x14ac:dyDescent="0.35">
      <c r="A197" s="8">
        <v>42709</v>
      </c>
      <c r="B197" s="13" t="s">
        <v>149</v>
      </c>
      <c r="C197" s="9" t="s">
        <v>84</v>
      </c>
      <c r="D197" s="13" t="s">
        <v>593</v>
      </c>
      <c r="E197" s="45"/>
      <c r="F197" s="44"/>
    </row>
    <row r="198" spans="1:6" x14ac:dyDescent="0.35">
      <c r="A198" s="8">
        <v>42711</v>
      </c>
      <c r="B198" s="13" t="s">
        <v>114</v>
      </c>
      <c r="C198" s="22" t="s">
        <v>229</v>
      </c>
      <c r="D198" s="13" t="s">
        <v>192</v>
      </c>
      <c r="E198" s="44">
        <v>9300</v>
      </c>
      <c r="F198" s="44">
        <f>E198*1.2</f>
        <v>11160</v>
      </c>
    </row>
    <row r="199" spans="1:6" x14ac:dyDescent="0.35">
      <c r="A199" s="8">
        <v>42713</v>
      </c>
      <c r="B199" s="13" t="s">
        <v>146</v>
      </c>
      <c r="C199" s="9" t="s">
        <v>84</v>
      </c>
      <c r="D199" s="13" t="s">
        <v>593</v>
      </c>
      <c r="E199" s="45"/>
      <c r="F199" s="44"/>
    </row>
    <row r="200" spans="1:6" x14ac:dyDescent="0.35">
      <c r="A200" s="8">
        <v>42716</v>
      </c>
      <c r="B200" s="13" t="s">
        <v>149</v>
      </c>
      <c r="C200" s="9" t="s">
        <v>84</v>
      </c>
      <c r="D200" s="13" t="s">
        <v>593</v>
      </c>
      <c r="E200" s="45"/>
      <c r="F200" s="44"/>
    </row>
    <row r="201" spans="1:6" x14ac:dyDescent="0.35">
      <c r="A201" s="8">
        <v>42718</v>
      </c>
      <c r="B201" s="13" t="s">
        <v>157</v>
      </c>
      <c r="C201" s="9" t="s">
        <v>84</v>
      </c>
      <c r="D201" s="13" t="s">
        <v>593</v>
      </c>
      <c r="E201" s="45"/>
      <c r="F201" s="44"/>
    </row>
    <row r="202" spans="1:6" x14ac:dyDescent="0.35">
      <c r="A202" s="8">
        <v>42718</v>
      </c>
      <c r="B202" s="13" t="s">
        <v>162</v>
      </c>
      <c r="C202" s="9" t="s">
        <v>84</v>
      </c>
      <c r="D202" s="13" t="s">
        <v>197</v>
      </c>
      <c r="E202" s="45"/>
      <c r="F202" s="44"/>
    </row>
    <row r="203" spans="1:6" x14ac:dyDescent="0.35">
      <c r="A203" s="8">
        <v>42719</v>
      </c>
      <c r="B203" s="13" t="s">
        <v>148</v>
      </c>
      <c r="C203" s="9" t="s">
        <v>84</v>
      </c>
      <c r="D203" s="13" t="s">
        <v>593</v>
      </c>
      <c r="E203" s="45"/>
      <c r="F203" s="44"/>
    </row>
    <row r="204" spans="1:6" x14ac:dyDescent="0.35">
      <c r="A204" s="8">
        <v>42720</v>
      </c>
      <c r="B204" s="13" t="s">
        <v>163</v>
      </c>
      <c r="C204" s="9" t="s">
        <v>84</v>
      </c>
      <c r="D204" s="13" t="s">
        <v>593</v>
      </c>
      <c r="E204" s="45"/>
      <c r="F204" s="44"/>
    </row>
    <row r="205" spans="1:6" x14ac:dyDescent="0.35">
      <c r="A205" s="8">
        <v>42723</v>
      </c>
      <c r="B205" s="13" t="s">
        <v>149</v>
      </c>
      <c r="C205" s="9" t="s">
        <v>84</v>
      </c>
      <c r="D205" s="13" t="s">
        <v>593</v>
      </c>
      <c r="E205" s="45"/>
      <c r="F205" s="44"/>
    </row>
    <row r="206" spans="1:6" x14ac:dyDescent="0.35">
      <c r="A206" s="28">
        <v>42730</v>
      </c>
      <c r="B206" s="13" t="s">
        <v>149</v>
      </c>
      <c r="C206" s="56" t="s">
        <v>84</v>
      </c>
      <c r="D206" s="13" t="s">
        <v>593</v>
      </c>
      <c r="E206" s="46"/>
      <c r="F206" s="44"/>
    </row>
    <row r="207" spans="1:6" x14ac:dyDescent="0.35">
      <c r="A207" s="27">
        <v>42849</v>
      </c>
      <c r="B207" s="13" t="s">
        <v>198</v>
      </c>
      <c r="C207" s="12" t="s">
        <v>84</v>
      </c>
      <c r="D207" s="39" t="s">
        <v>593</v>
      </c>
      <c r="E207" s="46"/>
      <c r="F207" s="45">
        <v>0</v>
      </c>
    </row>
    <row r="208" spans="1:6" x14ac:dyDescent="0.35">
      <c r="A208" s="27">
        <v>42887</v>
      </c>
      <c r="B208" s="13" t="s">
        <v>205</v>
      </c>
      <c r="C208" s="10" t="s">
        <v>84</v>
      </c>
      <c r="D208" s="13" t="s">
        <v>593</v>
      </c>
      <c r="E208" s="46">
        <v>1650</v>
      </c>
      <c r="F208" s="45">
        <v>1980</v>
      </c>
    </row>
    <row r="209" spans="1:6" x14ac:dyDescent="0.35">
      <c r="A209" s="27">
        <v>42915</v>
      </c>
      <c r="B209" s="13" t="s">
        <v>201</v>
      </c>
      <c r="C209" s="52" t="s">
        <v>593</v>
      </c>
      <c r="D209" s="13" t="s">
        <v>593</v>
      </c>
      <c r="E209" s="46">
        <v>1600</v>
      </c>
      <c r="F209" s="45">
        <v>1920</v>
      </c>
    </row>
    <row r="210" spans="1:6" x14ac:dyDescent="0.35">
      <c r="A210" s="27">
        <v>42921</v>
      </c>
      <c r="B210" s="13" t="s">
        <v>199</v>
      </c>
      <c r="C210" s="10" t="s">
        <v>84</v>
      </c>
      <c r="D210" s="39" t="s">
        <v>593</v>
      </c>
      <c r="E210" s="46"/>
      <c r="F210" s="45">
        <v>0</v>
      </c>
    </row>
    <row r="211" spans="1:6" x14ac:dyDescent="0.35">
      <c r="A211" s="27">
        <v>42927</v>
      </c>
      <c r="B211" s="13" t="s">
        <v>207</v>
      </c>
      <c r="C211" s="10" t="s">
        <v>84</v>
      </c>
      <c r="D211" s="39" t="s">
        <v>593</v>
      </c>
      <c r="E211" s="46"/>
      <c r="F211" s="45">
        <v>0</v>
      </c>
    </row>
    <row r="212" spans="1:6" x14ac:dyDescent="0.35">
      <c r="A212" s="27">
        <v>42928</v>
      </c>
      <c r="B212" s="13" t="s">
        <v>212</v>
      </c>
      <c r="C212" s="10" t="s">
        <v>84</v>
      </c>
      <c r="D212" s="13" t="s">
        <v>593</v>
      </c>
      <c r="E212" s="46"/>
      <c r="F212" s="45">
        <v>0</v>
      </c>
    </row>
    <row r="213" spans="1:6" x14ac:dyDescent="0.35">
      <c r="A213" s="27">
        <v>42936</v>
      </c>
      <c r="B213" s="13" t="s">
        <v>214</v>
      </c>
      <c r="C213" s="10" t="s">
        <v>84</v>
      </c>
      <c r="D213" s="39" t="s">
        <v>593</v>
      </c>
      <c r="E213" s="46"/>
      <c r="F213" s="45">
        <v>0</v>
      </c>
    </row>
    <row r="214" spans="1:6" x14ac:dyDescent="0.35">
      <c r="A214" s="27">
        <v>42993</v>
      </c>
      <c r="B214" s="13" t="s">
        <v>217</v>
      </c>
      <c r="C214" s="10" t="s">
        <v>84</v>
      </c>
      <c r="D214" s="13" t="s">
        <v>593</v>
      </c>
      <c r="E214" s="46"/>
      <c r="F214" s="45">
        <v>0</v>
      </c>
    </row>
    <row r="215" spans="1:6" x14ac:dyDescent="0.35">
      <c r="A215" s="27">
        <v>42997</v>
      </c>
      <c r="B215" s="13" t="s">
        <v>208</v>
      </c>
      <c r="C215" s="10" t="s">
        <v>84</v>
      </c>
      <c r="D215" s="13" t="s">
        <v>593</v>
      </c>
      <c r="E215" s="46"/>
      <c r="F215" s="45">
        <v>0</v>
      </c>
    </row>
    <row r="216" spans="1:6" x14ac:dyDescent="0.35">
      <c r="A216" s="27">
        <v>42997</v>
      </c>
      <c r="B216" s="26" t="s">
        <v>218</v>
      </c>
      <c r="C216" s="10" t="s">
        <v>84</v>
      </c>
      <c r="D216" s="13" t="s">
        <v>593</v>
      </c>
      <c r="E216" s="46"/>
      <c r="F216" s="45">
        <v>0</v>
      </c>
    </row>
    <row r="217" spans="1:6" x14ac:dyDescent="0.35">
      <c r="A217" s="27">
        <v>42998</v>
      </c>
      <c r="B217" s="13" t="s">
        <v>204</v>
      </c>
      <c r="C217" s="10" t="s">
        <v>84</v>
      </c>
      <c r="D217" s="39" t="s">
        <v>593</v>
      </c>
      <c r="E217" s="46"/>
      <c r="F217" s="45">
        <v>0</v>
      </c>
    </row>
    <row r="218" spans="1:6" x14ac:dyDescent="0.35">
      <c r="A218" s="27">
        <v>42998</v>
      </c>
      <c r="B218" s="26" t="s">
        <v>219</v>
      </c>
      <c r="C218" s="12" t="s">
        <v>84</v>
      </c>
      <c r="D218" s="13" t="s">
        <v>593</v>
      </c>
      <c r="E218" s="46"/>
      <c r="F218" s="45">
        <v>0</v>
      </c>
    </row>
    <row r="219" spans="1:6" x14ac:dyDescent="0.35">
      <c r="A219" s="27">
        <v>43000</v>
      </c>
      <c r="B219" s="13" t="s">
        <v>206</v>
      </c>
      <c r="C219" s="10" t="s">
        <v>84</v>
      </c>
      <c r="D219" s="13" t="s">
        <v>593</v>
      </c>
      <c r="E219" s="45"/>
      <c r="F219" s="45">
        <v>0</v>
      </c>
    </row>
    <row r="220" spans="1:6" x14ac:dyDescent="0.35">
      <c r="A220" s="27">
        <v>43000</v>
      </c>
      <c r="B220" s="13" t="s">
        <v>215</v>
      </c>
      <c r="C220" s="10" t="s">
        <v>84</v>
      </c>
      <c r="D220" s="13" t="s">
        <v>243</v>
      </c>
      <c r="E220" s="45"/>
      <c r="F220" s="45">
        <v>0</v>
      </c>
    </row>
    <row r="221" spans="1:6" x14ac:dyDescent="0.35">
      <c r="A221" s="27">
        <v>43003</v>
      </c>
      <c r="B221" s="13" t="s">
        <v>216</v>
      </c>
      <c r="C221" s="55" t="s">
        <v>84</v>
      </c>
      <c r="D221" s="13" t="s">
        <v>593</v>
      </c>
      <c r="E221" s="45"/>
      <c r="F221" s="45">
        <v>0</v>
      </c>
    </row>
    <row r="222" spans="1:6" x14ac:dyDescent="0.35">
      <c r="A222" s="27">
        <v>43006</v>
      </c>
      <c r="B222" s="13" t="s">
        <v>209</v>
      </c>
      <c r="C222" s="12" t="s">
        <v>84</v>
      </c>
      <c r="D222" s="13" t="s">
        <v>593</v>
      </c>
      <c r="E222" s="45"/>
      <c r="F222" s="45">
        <v>0</v>
      </c>
    </row>
    <row r="223" spans="1:6" x14ac:dyDescent="0.35">
      <c r="A223" s="27">
        <v>43010</v>
      </c>
      <c r="B223" s="13" t="s">
        <v>211</v>
      </c>
      <c r="C223" s="10" t="s">
        <v>84</v>
      </c>
      <c r="D223" s="13" t="s">
        <v>593</v>
      </c>
      <c r="E223" s="45"/>
      <c r="F223" s="45">
        <v>0</v>
      </c>
    </row>
    <row r="224" spans="1:6" x14ac:dyDescent="0.35">
      <c r="A224" s="27">
        <v>43020</v>
      </c>
      <c r="B224" s="13" t="s">
        <v>202</v>
      </c>
      <c r="C224" s="53" t="s">
        <v>84</v>
      </c>
      <c r="D224" s="13" t="s">
        <v>593</v>
      </c>
      <c r="E224" s="45"/>
      <c r="F224" s="45">
        <v>0</v>
      </c>
    </row>
    <row r="225" spans="1:6" x14ac:dyDescent="0.35">
      <c r="A225" s="27">
        <v>43020</v>
      </c>
      <c r="B225" s="26" t="s">
        <v>159</v>
      </c>
      <c r="C225" s="10" t="s">
        <v>84</v>
      </c>
      <c r="D225" s="13" t="s">
        <v>593</v>
      </c>
      <c r="E225" s="45"/>
      <c r="F225" s="45">
        <v>0</v>
      </c>
    </row>
    <row r="226" spans="1:6" x14ac:dyDescent="0.35">
      <c r="A226" s="27">
        <v>43027</v>
      </c>
      <c r="B226" s="13" t="s">
        <v>213</v>
      </c>
      <c r="C226" s="10" t="s">
        <v>84</v>
      </c>
      <c r="D226" s="13" t="s">
        <v>593</v>
      </c>
      <c r="E226" s="45"/>
      <c r="F226" s="45">
        <v>0</v>
      </c>
    </row>
    <row r="227" spans="1:6" x14ac:dyDescent="0.35">
      <c r="A227" s="27">
        <v>43032</v>
      </c>
      <c r="B227" s="13" t="s">
        <v>105</v>
      </c>
      <c r="C227" s="51" t="s">
        <v>229</v>
      </c>
      <c r="D227" s="13" t="s">
        <v>245</v>
      </c>
      <c r="E227" s="45">
        <v>900</v>
      </c>
      <c r="F227" s="45">
        <v>1080</v>
      </c>
    </row>
    <row r="228" spans="1:6" x14ac:dyDescent="0.35">
      <c r="A228" s="27">
        <v>43034</v>
      </c>
      <c r="B228" s="13" t="s">
        <v>203</v>
      </c>
      <c r="C228" s="52" t="s">
        <v>594</v>
      </c>
      <c r="D228" s="13" t="s">
        <v>593</v>
      </c>
      <c r="E228" s="45">
        <v>1400</v>
      </c>
      <c r="F228" s="45">
        <v>1680</v>
      </c>
    </row>
    <row r="229" spans="1:6" x14ac:dyDescent="0.35">
      <c r="A229" s="27">
        <v>43045</v>
      </c>
      <c r="B229" s="13" t="s">
        <v>149</v>
      </c>
      <c r="C229" s="10" t="s">
        <v>84</v>
      </c>
      <c r="D229" s="13" t="s">
        <v>593</v>
      </c>
      <c r="E229" s="45"/>
      <c r="F229" s="45">
        <v>0</v>
      </c>
    </row>
    <row r="230" spans="1:6" x14ac:dyDescent="0.35">
      <c r="A230" s="27">
        <v>43046</v>
      </c>
      <c r="B230" s="36" t="s">
        <v>230</v>
      </c>
      <c r="C230" s="51" t="s">
        <v>164</v>
      </c>
      <c r="D230" s="13" t="s">
        <v>238</v>
      </c>
      <c r="E230" s="45"/>
      <c r="F230" s="45">
        <v>0</v>
      </c>
    </row>
    <row r="231" spans="1:6" x14ac:dyDescent="0.35">
      <c r="A231" s="27">
        <v>43047</v>
      </c>
      <c r="B231" s="13" t="s">
        <v>222</v>
      </c>
      <c r="C231" s="10" t="s">
        <v>84</v>
      </c>
      <c r="D231" s="13" t="s">
        <v>246</v>
      </c>
      <c r="E231" s="45"/>
      <c r="F231" s="45">
        <v>0</v>
      </c>
    </row>
    <row r="232" spans="1:6" x14ac:dyDescent="0.35">
      <c r="A232" s="27">
        <v>43048</v>
      </c>
      <c r="B232" s="13" t="s">
        <v>41</v>
      </c>
      <c r="C232" s="10" t="s">
        <v>84</v>
      </c>
      <c r="D232" s="13" t="s">
        <v>593</v>
      </c>
      <c r="E232" s="45"/>
      <c r="F232" s="45">
        <v>0</v>
      </c>
    </row>
    <row r="233" spans="1:6" x14ac:dyDescent="0.35">
      <c r="A233" s="27">
        <v>43052</v>
      </c>
      <c r="B233" s="13" t="s">
        <v>149</v>
      </c>
      <c r="C233" s="10" t="s">
        <v>84</v>
      </c>
      <c r="D233" s="13" t="s">
        <v>593</v>
      </c>
      <c r="E233" s="45"/>
      <c r="F233" s="45">
        <v>0</v>
      </c>
    </row>
    <row r="234" spans="1:6" x14ac:dyDescent="0.35">
      <c r="A234" s="27">
        <v>43053</v>
      </c>
      <c r="B234" s="13" t="s">
        <v>224</v>
      </c>
      <c r="C234" s="10" t="s">
        <v>84</v>
      </c>
      <c r="D234" s="13" t="s">
        <v>593</v>
      </c>
      <c r="E234" s="45"/>
      <c r="F234" s="45">
        <v>0</v>
      </c>
    </row>
    <row r="235" spans="1:6" x14ac:dyDescent="0.35">
      <c r="A235" s="27">
        <v>43054</v>
      </c>
      <c r="B235" s="13" t="s">
        <v>210</v>
      </c>
      <c r="C235" s="10" t="s">
        <v>84</v>
      </c>
      <c r="D235" s="13" t="s">
        <v>593</v>
      </c>
      <c r="E235" s="45"/>
      <c r="F235" s="45">
        <v>0</v>
      </c>
    </row>
    <row r="236" spans="1:6" x14ac:dyDescent="0.35">
      <c r="A236" s="27">
        <v>43056</v>
      </c>
      <c r="B236" s="13" t="s">
        <v>231</v>
      </c>
      <c r="C236" s="10" t="s">
        <v>84</v>
      </c>
      <c r="D236" s="13" t="s">
        <v>239</v>
      </c>
      <c r="E236" s="45"/>
      <c r="F236" s="45">
        <v>0</v>
      </c>
    </row>
    <row r="237" spans="1:6" x14ac:dyDescent="0.35">
      <c r="A237" s="27">
        <v>43057</v>
      </c>
      <c r="B237" s="13" t="s">
        <v>232</v>
      </c>
      <c r="C237" s="10" t="s">
        <v>84</v>
      </c>
      <c r="D237" s="13" t="s">
        <v>240</v>
      </c>
      <c r="E237" s="45"/>
      <c r="F237" s="45">
        <v>0</v>
      </c>
    </row>
    <row r="238" spans="1:6" x14ac:dyDescent="0.35">
      <c r="A238" s="27">
        <v>43059</v>
      </c>
      <c r="B238" s="13" t="s">
        <v>149</v>
      </c>
      <c r="C238" s="10" t="s">
        <v>84</v>
      </c>
      <c r="D238" s="13" t="s">
        <v>593</v>
      </c>
      <c r="E238" s="45"/>
      <c r="F238" s="45">
        <v>0</v>
      </c>
    </row>
    <row r="239" spans="1:6" x14ac:dyDescent="0.35">
      <c r="A239" s="27">
        <v>43061</v>
      </c>
      <c r="B239" s="36" t="s">
        <v>233</v>
      </c>
      <c r="C239" s="10" t="s">
        <v>84</v>
      </c>
      <c r="D239" s="13" t="s">
        <v>241</v>
      </c>
      <c r="E239" s="45"/>
      <c r="F239" s="45">
        <v>0</v>
      </c>
    </row>
    <row r="240" spans="1:6" x14ac:dyDescent="0.35">
      <c r="A240" s="27">
        <v>43062</v>
      </c>
      <c r="B240" s="13" t="s">
        <v>234</v>
      </c>
      <c r="C240" s="10" t="s">
        <v>84</v>
      </c>
      <c r="D240" s="13" t="s">
        <v>593</v>
      </c>
      <c r="E240" s="45"/>
      <c r="F240" s="45">
        <v>0</v>
      </c>
    </row>
    <row r="241" spans="1:6" x14ac:dyDescent="0.35">
      <c r="A241" s="27">
        <v>43063</v>
      </c>
      <c r="B241" s="36" t="s">
        <v>235</v>
      </c>
      <c r="C241" s="12" t="s">
        <v>84</v>
      </c>
      <c r="D241" s="13" t="s">
        <v>593</v>
      </c>
      <c r="E241" s="45"/>
      <c r="F241" s="45">
        <v>0</v>
      </c>
    </row>
    <row r="242" spans="1:6" x14ac:dyDescent="0.35">
      <c r="A242" s="27">
        <v>43063</v>
      </c>
      <c r="B242" s="13" t="s">
        <v>225</v>
      </c>
      <c r="C242" s="10" t="s">
        <v>84</v>
      </c>
      <c r="D242" s="13" t="s">
        <v>248</v>
      </c>
      <c r="E242" s="45"/>
      <c r="F242" s="45">
        <v>0</v>
      </c>
    </row>
    <row r="243" spans="1:6" x14ac:dyDescent="0.35">
      <c r="A243" s="27">
        <v>43066</v>
      </c>
      <c r="B243" s="13" t="s">
        <v>149</v>
      </c>
      <c r="C243" s="55" t="s">
        <v>84</v>
      </c>
      <c r="D243" s="13" t="s">
        <v>593</v>
      </c>
      <c r="E243" s="45"/>
      <c r="F243" s="45">
        <v>0</v>
      </c>
    </row>
    <row r="244" spans="1:6" x14ac:dyDescent="0.35">
      <c r="A244" s="27">
        <v>43067</v>
      </c>
      <c r="B244" s="13" t="s">
        <v>236</v>
      </c>
      <c r="C244" s="55" t="s">
        <v>84</v>
      </c>
      <c r="D244" s="13" t="s">
        <v>242</v>
      </c>
      <c r="E244" s="45"/>
      <c r="F244" s="45">
        <v>0</v>
      </c>
    </row>
    <row r="245" spans="1:6" x14ac:dyDescent="0.35">
      <c r="A245" s="27">
        <v>43068</v>
      </c>
      <c r="B245" s="13" t="s">
        <v>237</v>
      </c>
      <c r="C245" s="51" t="s">
        <v>164</v>
      </c>
      <c r="D245" s="13" t="s">
        <v>593</v>
      </c>
      <c r="E245" s="45">
        <v>10000</v>
      </c>
      <c r="F245" s="45">
        <v>12000</v>
      </c>
    </row>
    <row r="246" spans="1:6" x14ac:dyDescent="0.35">
      <c r="A246" s="27">
        <v>43074</v>
      </c>
      <c r="B246" s="13" t="s">
        <v>228</v>
      </c>
      <c r="C246" s="51" t="s">
        <v>164</v>
      </c>
      <c r="D246" s="13" t="s">
        <v>244</v>
      </c>
      <c r="E246" s="45">
        <v>416.67</v>
      </c>
      <c r="F246" s="45">
        <v>500</v>
      </c>
    </row>
    <row r="247" spans="1:6" x14ac:dyDescent="0.35">
      <c r="A247" s="27">
        <v>43075</v>
      </c>
      <c r="B247" s="26" t="s">
        <v>220</v>
      </c>
      <c r="C247" s="51" t="s">
        <v>164</v>
      </c>
      <c r="D247" s="13" t="s">
        <v>593</v>
      </c>
      <c r="E247" s="45">
        <v>4600</v>
      </c>
      <c r="F247" s="45">
        <v>5520</v>
      </c>
    </row>
    <row r="248" spans="1:6" x14ac:dyDescent="0.35">
      <c r="A248" s="27">
        <v>43075</v>
      </c>
      <c r="B248" s="13" t="s">
        <v>227</v>
      </c>
      <c r="C248" s="52" t="s">
        <v>594</v>
      </c>
      <c r="D248" s="13" t="s">
        <v>249</v>
      </c>
      <c r="E248" s="45">
        <v>1400</v>
      </c>
      <c r="F248" s="45">
        <v>1680</v>
      </c>
    </row>
    <row r="249" spans="1:6" x14ac:dyDescent="0.35">
      <c r="A249" s="27">
        <v>43081</v>
      </c>
      <c r="B249" s="26" t="s">
        <v>221</v>
      </c>
      <c r="C249" s="22" t="s">
        <v>229</v>
      </c>
      <c r="D249" s="13" t="s">
        <v>244</v>
      </c>
      <c r="E249" s="45">
        <v>1440</v>
      </c>
      <c r="F249" s="45">
        <v>1728</v>
      </c>
    </row>
    <row r="250" spans="1:6" x14ac:dyDescent="0.35">
      <c r="A250" s="27">
        <v>43083</v>
      </c>
      <c r="B250" s="13" t="s">
        <v>200</v>
      </c>
      <c r="C250" s="61" t="s">
        <v>229</v>
      </c>
      <c r="D250" s="13" t="s">
        <v>593</v>
      </c>
      <c r="E250" s="45">
        <v>9300</v>
      </c>
      <c r="F250" s="45">
        <v>11160</v>
      </c>
    </row>
    <row r="251" spans="1:6" x14ac:dyDescent="0.35">
      <c r="A251" s="27">
        <v>43087</v>
      </c>
      <c r="B251" s="13" t="s">
        <v>226</v>
      </c>
      <c r="C251" s="11" t="s">
        <v>593</v>
      </c>
      <c r="D251" s="13" t="s">
        <v>593</v>
      </c>
      <c r="E251" s="45"/>
      <c r="F251" s="45"/>
    </row>
    <row r="252" spans="1:6" x14ac:dyDescent="0.35">
      <c r="A252" s="26">
        <v>43089</v>
      </c>
      <c r="B252" s="13" t="s">
        <v>223</v>
      </c>
      <c r="C252" s="12" t="s">
        <v>84</v>
      </c>
      <c r="D252" s="13" t="s">
        <v>247</v>
      </c>
      <c r="E252" s="45"/>
      <c r="F252" s="45">
        <v>0</v>
      </c>
    </row>
    <row r="253" spans="1:6" x14ac:dyDescent="0.35">
      <c r="A253" s="8">
        <v>43111</v>
      </c>
      <c r="B253" s="13" t="s">
        <v>250</v>
      </c>
      <c r="C253" s="52" t="s">
        <v>593</v>
      </c>
      <c r="D253" s="13" t="s">
        <v>593</v>
      </c>
      <c r="E253" s="45" t="s">
        <v>593</v>
      </c>
      <c r="F253" s="44">
        <v>11304</v>
      </c>
    </row>
    <row r="254" spans="1:6" x14ac:dyDescent="0.35">
      <c r="A254" s="8">
        <v>43112</v>
      </c>
      <c r="B254" s="13" t="s">
        <v>251</v>
      </c>
      <c r="C254" s="12" t="s">
        <v>84</v>
      </c>
      <c r="D254" s="13" t="s">
        <v>370</v>
      </c>
      <c r="E254" s="45"/>
      <c r="F254" s="44"/>
    </row>
    <row r="255" spans="1:6" x14ac:dyDescent="0.35">
      <c r="A255" s="8">
        <v>43115</v>
      </c>
      <c r="B255" s="13" t="s">
        <v>252</v>
      </c>
      <c r="C255" s="11" t="s">
        <v>593</v>
      </c>
      <c r="D255" s="13" t="s">
        <v>54</v>
      </c>
      <c r="E255" s="45" t="s">
        <v>593</v>
      </c>
      <c r="F255" s="44">
        <v>11880</v>
      </c>
    </row>
    <row r="256" spans="1:6" x14ac:dyDescent="0.35">
      <c r="A256" s="8">
        <v>43118</v>
      </c>
      <c r="B256" s="13" t="s">
        <v>253</v>
      </c>
      <c r="C256" s="52" t="s">
        <v>593</v>
      </c>
      <c r="D256" s="36" t="s">
        <v>371</v>
      </c>
      <c r="E256" s="45" t="s">
        <v>593</v>
      </c>
      <c r="F256" s="44">
        <v>4890</v>
      </c>
    </row>
    <row r="257" spans="1:6" x14ac:dyDescent="0.35">
      <c r="A257" s="26">
        <v>43119</v>
      </c>
      <c r="B257" s="36" t="s">
        <v>254</v>
      </c>
      <c r="C257" s="12" t="s">
        <v>84</v>
      </c>
      <c r="D257" s="36" t="s">
        <v>372</v>
      </c>
      <c r="E257" s="45"/>
      <c r="F257" s="44"/>
    </row>
    <row r="258" spans="1:6" x14ac:dyDescent="0.35">
      <c r="A258" s="26">
        <v>43123</v>
      </c>
      <c r="B258" s="36" t="s">
        <v>255</v>
      </c>
      <c r="C258" s="11" t="s">
        <v>593</v>
      </c>
      <c r="D258" s="13" t="s">
        <v>593</v>
      </c>
      <c r="E258" s="45"/>
      <c r="F258" s="44"/>
    </row>
    <row r="259" spans="1:6" x14ac:dyDescent="0.35">
      <c r="A259" s="26">
        <v>43124</v>
      </c>
      <c r="B259" s="36" t="s">
        <v>256</v>
      </c>
      <c r="C259" s="11" t="s">
        <v>593</v>
      </c>
      <c r="D259" s="13" t="s">
        <v>593</v>
      </c>
      <c r="E259" s="45" t="s">
        <v>593</v>
      </c>
      <c r="F259" s="44">
        <v>226.8</v>
      </c>
    </row>
    <row r="260" spans="1:6" x14ac:dyDescent="0.35">
      <c r="A260" s="26">
        <v>43126</v>
      </c>
      <c r="B260" s="36" t="s">
        <v>257</v>
      </c>
      <c r="C260" s="11" t="s">
        <v>593</v>
      </c>
      <c r="D260" s="13" t="s">
        <v>167</v>
      </c>
      <c r="E260" s="45"/>
      <c r="F260" s="44"/>
    </row>
    <row r="261" spans="1:6" x14ac:dyDescent="0.35">
      <c r="A261" s="26">
        <v>43131</v>
      </c>
      <c r="B261" s="36" t="s">
        <v>258</v>
      </c>
      <c r="C261" s="52" t="s">
        <v>593</v>
      </c>
      <c r="D261" s="13" t="s">
        <v>593</v>
      </c>
      <c r="E261" s="45"/>
      <c r="F261" s="44"/>
    </row>
    <row r="262" spans="1:6" x14ac:dyDescent="0.35">
      <c r="A262" s="26">
        <v>43133</v>
      </c>
      <c r="B262" s="36" t="s">
        <v>259</v>
      </c>
      <c r="C262" s="12" t="s">
        <v>84</v>
      </c>
      <c r="D262" s="13" t="s">
        <v>373</v>
      </c>
      <c r="E262" s="45"/>
      <c r="F262" s="44"/>
    </row>
    <row r="263" spans="1:6" x14ac:dyDescent="0.35">
      <c r="A263" s="26">
        <v>43137</v>
      </c>
      <c r="B263" s="36" t="s">
        <v>260</v>
      </c>
      <c r="C263" s="11" t="s">
        <v>593</v>
      </c>
      <c r="D263" s="13" t="s">
        <v>593</v>
      </c>
      <c r="E263" s="45"/>
      <c r="F263" s="44"/>
    </row>
    <row r="264" spans="1:6" x14ac:dyDescent="0.35">
      <c r="A264" s="26">
        <v>43138</v>
      </c>
      <c r="B264" s="36" t="s">
        <v>261</v>
      </c>
      <c r="C264" s="11" t="s">
        <v>593</v>
      </c>
      <c r="D264" s="13" t="s">
        <v>593</v>
      </c>
      <c r="E264" s="45"/>
      <c r="F264" s="44"/>
    </row>
    <row r="265" spans="1:6" x14ac:dyDescent="0.35">
      <c r="A265" s="8">
        <v>43139</v>
      </c>
      <c r="B265" s="13" t="s">
        <v>262</v>
      </c>
      <c r="C265" s="11" t="s">
        <v>593</v>
      </c>
      <c r="D265" s="13" t="s">
        <v>593</v>
      </c>
      <c r="E265" s="45" t="s">
        <v>593</v>
      </c>
      <c r="F265" s="44">
        <f>3680*1.2+5916</f>
        <v>10332</v>
      </c>
    </row>
    <row r="266" spans="1:6" x14ac:dyDescent="0.35">
      <c r="A266" s="8">
        <v>43140</v>
      </c>
      <c r="B266" s="13" t="s">
        <v>263</v>
      </c>
      <c r="C266" s="11" t="s">
        <v>593</v>
      </c>
      <c r="D266" s="13" t="s">
        <v>593</v>
      </c>
      <c r="E266" s="45" t="s">
        <v>593</v>
      </c>
      <c r="F266" s="44">
        <v>2131.1999999999998</v>
      </c>
    </row>
    <row r="267" spans="1:6" x14ac:dyDescent="0.35">
      <c r="A267" s="26">
        <v>43143</v>
      </c>
      <c r="B267" s="36" t="s">
        <v>264</v>
      </c>
      <c r="C267" s="11" t="s">
        <v>593</v>
      </c>
      <c r="D267" s="13" t="s">
        <v>593</v>
      </c>
      <c r="E267" s="45"/>
      <c r="F267" s="44"/>
    </row>
    <row r="268" spans="1:6" x14ac:dyDescent="0.35">
      <c r="A268" s="26">
        <v>43144</v>
      </c>
      <c r="B268" s="36" t="s">
        <v>265</v>
      </c>
      <c r="C268" s="11" t="s">
        <v>593</v>
      </c>
      <c r="D268" s="36" t="s">
        <v>374</v>
      </c>
      <c r="E268" s="45" t="s">
        <v>593</v>
      </c>
      <c r="F268" s="44">
        <v>1755.6</v>
      </c>
    </row>
    <row r="269" spans="1:6" x14ac:dyDescent="0.35">
      <c r="A269" s="26">
        <v>43146</v>
      </c>
      <c r="B269" s="36" t="s">
        <v>266</v>
      </c>
      <c r="C269" s="52" t="s">
        <v>593</v>
      </c>
      <c r="D269" s="36" t="s">
        <v>375</v>
      </c>
      <c r="E269" s="45" t="s">
        <v>593</v>
      </c>
      <c r="F269" s="44">
        <v>120</v>
      </c>
    </row>
    <row r="270" spans="1:6" x14ac:dyDescent="0.35">
      <c r="A270" s="26">
        <v>43147</v>
      </c>
      <c r="B270" s="13" t="s">
        <v>267</v>
      </c>
      <c r="C270" s="10" t="s">
        <v>84</v>
      </c>
      <c r="D270" s="36" t="s">
        <v>376</v>
      </c>
      <c r="E270" s="45"/>
      <c r="F270" s="44"/>
    </row>
    <row r="271" spans="1:6" x14ac:dyDescent="0.35">
      <c r="A271" s="8">
        <v>43154</v>
      </c>
      <c r="B271" s="13" t="s">
        <v>268</v>
      </c>
      <c r="C271" s="12" t="s">
        <v>84</v>
      </c>
      <c r="D271" s="36" t="s">
        <v>247</v>
      </c>
      <c r="E271" s="45"/>
      <c r="F271" s="44"/>
    </row>
    <row r="272" spans="1:6" x14ac:dyDescent="0.35">
      <c r="A272" s="26">
        <v>43161</v>
      </c>
      <c r="B272" s="36" t="s">
        <v>269</v>
      </c>
      <c r="C272" s="11" t="s">
        <v>593</v>
      </c>
      <c r="D272" s="13" t="s">
        <v>593</v>
      </c>
      <c r="E272" s="45"/>
      <c r="F272" s="44"/>
    </row>
    <row r="273" spans="1:6" x14ac:dyDescent="0.35">
      <c r="A273" s="26">
        <v>43165</v>
      </c>
      <c r="B273" s="36" t="s">
        <v>270</v>
      </c>
      <c r="C273" s="11" t="s">
        <v>593</v>
      </c>
      <c r="D273" s="13" t="s">
        <v>377</v>
      </c>
      <c r="E273" s="45"/>
      <c r="F273" s="44">
        <v>0</v>
      </c>
    </row>
    <row r="274" spans="1:6" x14ac:dyDescent="0.35">
      <c r="A274" s="26">
        <v>43171</v>
      </c>
      <c r="B274" s="36" t="s">
        <v>271</v>
      </c>
      <c r="C274" s="52" t="s">
        <v>593</v>
      </c>
      <c r="D274" s="13" t="s">
        <v>593</v>
      </c>
      <c r="E274" s="45"/>
      <c r="F274" s="44"/>
    </row>
    <row r="275" spans="1:6" x14ac:dyDescent="0.35">
      <c r="A275" s="26">
        <v>43174</v>
      </c>
      <c r="B275" s="36" t="s">
        <v>272</v>
      </c>
      <c r="C275" s="12" t="s">
        <v>84</v>
      </c>
      <c r="D275" s="13" t="s">
        <v>378</v>
      </c>
      <c r="E275" s="45"/>
      <c r="F275" s="44"/>
    </row>
    <row r="276" spans="1:6" x14ac:dyDescent="0.35">
      <c r="A276" s="26">
        <v>43178</v>
      </c>
      <c r="B276" s="36" t="s">
        <v>273</v>
      </c>
      <c r="C276" s="11" t="s">
        <v>593</v>
      </c>
      <c r="D276" s="36" t="s">
        <v>190</v>
      </c>
      <c r="E276" s="45" t="s">
        <v>593</v>
      </c>
      <c r="F276" s="44">
        <f>63*1.2</f>
        <v>75.599999999999994</v>
      </c>
    </row>
    <row r="277" spans="1:6" x14ac:dyDescent="0.35">
      <c r="A277" s="26">
        <v>43181</v>
      </c>
      <c r="B277" s="36" t="s">
        <v>274</v>
      </c>
      <c r="C277" s="11" t="s">
        <v>593</v>
      </c>
      <c r="D277" s="13" t="s">
        <v>379</v>
      </c>
      <c r="E277" s="45" t="s">
        <v>593</v>
      </c>
      <c r="F277" s="44">
        <v>151.19999999999999</v>
      </c>
    </row>
    <row r="278" spans="1:6" x14ac:dyDescent="0.35">
      <c r="A278" s="26">
        <v>43182</v>
      </c>
      <c r="B278" s="36" t="s">
        <v>275</v>
      </c>
      <c r="C278" s="52" t="s">
        <v>593</v>
      </c>
      <c r="D278" s="13" t="s">
        <v>593</v>
      </c>
      <c r="E278" s="45"/>
      <c r="F278" s="44"/>
    </row>
    <row r="279" spans="1:6" x14ac:dyDescent="0.35">
      <c r="A279" s="26">
        <v>43185</v>
      </c>
      <c r="B279" s="36" t="s">
        <v>276</v>
      </c>
      <c r="C279" s="10" t="s">
        <v>84</v>
      </c>
      <c r="D279" s="13" t="s">
        <v>593</v>
      </c>
      <c r="E279" s="45"/>
      <c r="F279" s="44"/>
    </row>
    <row r="280" spans="1:6" x14ac:dyDescent="0.35">
      <c r="A280" s="26">
        <v>43186</v>
      </c>
      <c r="B280" s="36" t="s">
        <v>277</v>
      </c>
      <c r="C280" s="12" t="s">
        <v>84</v>
      </c>
      <c r="D280" s="13" t="s">
        <v>380</v>
      </c>
      <c r="E280" s="45"/>
      <c r="F280" s="44"/>
    </row>
    <row r="281" spans="1:6" x14ac:dyDescent="0.35">
      <c r="A281" s="26">
        <v>43188</v>
      </c>
      <c r="B281" s="36" t="s">
        <v>278</v>
      </c>
      <c r="C281" s="11" t="s">
        <v>593</v>
      </c>
      <c r="D281" s="13" t="s">
        <v>593</v>
      </c>
      <c r="E281" s="45" t="s">
        <v>593</v>
      </c>
      <c r="F281" s="44">
        <v>2722.8</v>
      </c>
    </row>
    <row r="282" spans="1:6" x14ac:dyDescent="0.35">
      <c r="A282" s="26">
        <v>43189</v>
      </c>
      <c r="B282" s="36" t="s">
        <v>279</v>
      </c>
      <c r="C282" s="11" t="s">
        <v>593</v>
      </c>
      <c r="D282" s="36" t="s">
        <v>381</v>
      </c>
      <c r="E282" s="45" t="s">
        <v>593</v>
      </c>
      <c r="F282" s="44">
        <v>1755.6</v>
      </c>
    </row>
    <row r="283" spans="1:6" x14ac:dyDescent="0.35">
      <c r="A283" s="26">
        <v>43194</v>
      </c>
      <c r="B283" s="36" t="s">
        <v>280</v>
      </c>
      <c r="C283" s="11" t="s">
        <v>593</v>
      </c>
      <c r="D283" s="13" t="s">
        <v>68</v>
      </c>
      <c r="E283" s="45"/>
      <c r="F283" s="44">
        <v>0</v>
      </c>
    </row>
    <row r="284" spans="1:6" x14ac:dyDescent="0.35">
      <c r="A284" s="26">
        <v>43195</v>
      </c>
      <c r="B284" s="36" t="s">
        <v>281</v>
      </c>
      <c r="C284" s="11" t="s">
        <v>593</v>
      </c>
      <c r="D284" s="36" t="s">
        <v>49</v>
      </c>
      <c r="E284" s="45" t="s">
        <v>593</v>
      </c>
      <c r="F284" s="44">
        <v>1762.8</v>
      </c>
    </row>
    <row r="285" spans="1:6" x14ac:dyDescent="0.35">
      <c r="A285" s="26">
        <v>43196</v>
      </c>
      <c r="B285" s="36" t="s">
        <v>282</v>
      </c>
      <c r="C285" s="11" t="s">
        <v>593</v>
      </c>
      <c r="D285" s="36" t="s">
        <v>382</v>
      </c>
      <c r="E285" s="45"/>
      <c r="F285" s="44">
        <v>0</v>
      </c>
    </row>
    <row r="286" spans="1:6" x14ac:dyDescent="0.35">
      <c r="A286" s="26">
        <v>43199</v>
      </c>
      <c r="B286" s="36" t="s">
        <v>283</v>
      </c>
      <c r="C286" s="11" t="s">
        <v>593</v>
      </c>
      <c r="D286" s="13" t="s">
        <v>593</v>
      </c>
      <c r="E286" s="45"/>
      <c r="F286" s="44"/>
    </row>
    <row r="287" spans="1:6" x14ac:dyDescent="0.35">
      <c r="A287" s="26">
        <v>43200</v>
      </c>
      <c r="B287" s="36" t="s">
        <v>284</v>
      </c>
      <c r="C287" s="11" t="s">
        <v>593</v>
      </c>
      <c r="D287" s="13" t="s">
        <v>593</v>
      </c>
      <c r="E287" s="45"/>
      <c r="F287" s="44"/>
    </row>
    <row r="288" spans="1:6" x14ac:dyDescent="0.35">
      <c r="A288" s="26">
        <v>43200</v>
      </c>
      <c r="B288" s="36" t="s">
        <v>270</v>
      </c>
      <c r="C288" s="11" t="s">
        <v>593</v>
      </c>
      <c r="D288" s="13" t="s">
        <v>593</v>
      </c>
      <c r="E288" s="45"/>
      <c r="F288" s="44"/>
    </row>
    <row r="289" spans="1:6" x14ac:dyDescent="0.35">
      <c r="A289" s="26">
        <v>43201</v>
      </c>
      <c r="B289" s="36" t="s">
        <v>285</v>
      </c>
      <c r="C289" s="11" t="s">
        <v>593</v>
      </c>
      <c r="D289" s="13" t="s">
        <v>383</v>
      </c>
      <c r="E289" s="45" t="s">
        <v>593</v>
      </c>
      <c r="F289" s="44">
        <f>928*1.2</f>
        <v>1113.5999999999999</v>
      </c>
    </row>
    <row r="290" spans="1:6" x14ac:dyDescent="0.35">
      <c r="A290" s="26">
        <v>43202</v>
      </c>
      <c r="B290" s="36" t="s">
        <v>287</v>
      </c>
      <c r="C290" s="11" t="s">
        <v>593</v>
      </c>
      <c r="D290" s="36" t="s">
        <v>384</v>
      </c>
      <c r="E290" s="45" t="s">
        <v>593</v>
      </c>
      <c r="F290" s="44">
        <v>7243.2</v>
      </c>
    </row>
    <row r="291" spans="1:6" x14ac:dyDescent="0.35">
      <c r="A291" s="27">
        <v>43206</v>
      </c>
      <c r="B291" s="36" t="s">
        <v>286</v>
      </c>
      <c r="C291" s="52" t="s">
        <v>593</v>
      </c>
      <c r="D291" s="13" t="s">
        <v>593</v>
      </c>
      <c r="E291" s="45"/>
      <c r="F291" s="44"/>
    </row>
    <row r="292" spans="1:6" x14ac:dyDescent="0.35">
      <c r="A292" s="26">
        <v>43224</v>
      </c>
      <c r="B292" s="36" t="s">
        <v>288</v>
      </c>
      <c r="C292" s="10" t="s">
        <v>84</v>
      </c>
      <c r="D292" s="13" t="s">
        <v>385</v>
      </c>
      <c r="E292" s="45"/>
      <c r="F292" s="44"/>
    </row>
    <row r="293" spans="1:6" x14ac:dyDescent="0.35">
      <c r="A293" s="26">
        <v>43234</v>
      </c>
      <c r="B293" s="36" t="s">
        <v>288</v>
      </c>
      <c r="C293" s="12" t="s">
        <v>84</v>
      </c>
      <c r="D293" s="13" t="s">
        <v>385</v>
      </c>
      <c r="E293" s="45"/>
      <c r="F293" s="44"/>
    </row>
    <row r="294" spans="1:6" x14ac:dyDescent="0.35">
      <c r="A294" s="26">
        <v>43234</v>
      </c>
      <c r="B294" s="36" t="s">
        <v>289</v>
      </c>
      <c r="C294" s="52" t="s">
        <v>593</v>
      </c>
      <c r="D294" s="13" t="s">
        <v>593</v>
      </c>
      <c r="E294" s="45"/>
      <c r="F294" s="44"/>
    </row>
    <row r="295" spans="1:6" x14ac:dyDescent="0.35">
      <c r="A295" s="26">
        <v>43236</v>
      </c>
      <c r="B295" s="36" t="s">
        <v>290</v>
      </c>
      <c r="C295" s="12" t="s">
        <v>84</v>
      </c>
      <c r="D295" s="36" t="s">
        <v>386</v>
      </c>
      <c r="E295" s="45"/>
      <c r="F295" s="44"/>
    </row>
    <row r="296" spans="1:6" x14ac:dyDescent="0.35">
      <c r="A296" s="26">
        <v>43237</v>
      </c>
      <c r="B296" s="36" t="s">
        <v>291</v>
      </c>
      <c r="C296" s="11" t="s">
        <v>593</v>
      </c>
      <c r="D296" s="13" t="s">
        <v>593</v>
      </c>
      <c r="E296" s="45"/>
      <c r="F296" s="44"/>
    </row>
    <row r="297" spans="1:6" x14ac:dyDescent="0.35">
      <c r="A297" s="26">
        <v>43242</v>
      </c>
      <c r="B297" s="36" t="s">
        <v>292</v>
      </c>
      <c r="C297" s="11" t="s">
        <v>593</v>
      </c>
      <c r="D297" s="13" t="s">
        <v>387</v>
      </c>
      <c r="E297" s="45" t="s">
        <v>593</v>
      </c>
      <c r="F297" s="44">
        <v>4882.8</v>
      </c>
    </row>
    <row r="298" spans="1:6" x14ac:dyDescent="0.35">
      <c r="A298" s="26">
        <v>43243</v>
      </c>
      <c r="B298" s="36" t="s">
        <v>293</v>
      </c>
      <c r="C298" s="11" t="s">
        <v>593</v>
      </c>
      <c r="D298" s="13" t="s">
        <v>593</v>
      </c>
      <c r="E298" s="45"/>
      <c r="F298" s="44"/>
    </row>
    <row r="299" spans="1:6" x14ac:dyDescent="0.35">
      <c r="A299" s="26">
        <v>43244</v>
      </c>
      <c r="B299" s="36" t="s">
        <v>294</v>
      </c>
      <c r="C299" s="11" t="s">
        <v>593</v>
      </c>
      <c r="D299" s="13" t="s">
        <v>593</v>
      </c>
      <c r="E299" s="45"/>
      <c r="F299" s="44"/>
    </row>
    <row r="300" spans="1:6" x14ac:dyDescent="0.35">
      <c r="A300" s="26">
        <v>43245</v>
      </c>
      <c r="B300" s="36" t="s">
        <v>295</v>
      </c>
      <c r="C300" s="52" t="s">
        <v>593</v>
      </c>
      <c r="D300" s="13" t="s">
        <v>593</v>
      </c>
      <c r="E300" s="45"/>
      <c r="F300" s="44"/>
    </row>
    <row r="301" spans="1:6" x14ac:dyDescent="0.35">
      <c r="A301" s="26">
        <v>43248</v>
      </c>
      <c r="B301" s="36" t="s">
        <v>288</v>
      </c>
      <c r="C301" s="12" t="s">
        <v>84</v>
      </c>
      <c r="D301" s="13" t="s">
        <v>385</v>
      </c>
      <c r="E301" s="45"/>
      <c r="F301" s="44"/>
    </row>
    <row r="302" spans="1:6" x14ac:dyDescent="0.35">
      <c r="A302" s="26">
        <v>43249</v>
      </c>
      <c r="B302" s="36" t="s">
        <v>296</v>
      </c>
      <c r="C302" s="11" t="s">
        <v>593</v>
      </c>
      <c r="D302" s="13" t="s">
        <v>388</v>
      </c>
      <c r="E302" s="45" t="s">
        <v>593</v>
      </c>
      <c r="F302" s="44">
        <f>500*1.2</f>
        <v>600</v>
      </c>
    </row>
    <row r="303" spans="1:6" x14ac:dyDescent="0.35">
      <c r="A303" s="26">
        <v>43250</v>
      </c>
      <c r="B303" s="36" t="s">
        <v>297</v>
      </c>
      <c r="C303" s="52" t="s">
        <v>593</v>
      </c>
      <c r="D303" s="13" t="s">
        <v>593</v>
      </c>
      <c r="E303" s="45"/>
      <c r="F303" s="44"/>
    </row>
    <row r="304" spans="1:6" x14ac:dyDescent="0.35">
      <c r="A304" s="26">
        <v>43252</v>
      </c>
      <c r="B304" s="36" t="s">
        <v>298</v>
      </c>
      <c r="C304" s="12" t="s">
        <v>84</v>
      </c>
      <c r="D304" s="13" t="s">
        <v>389</v>
      </c>
      <c r="E304" s="45"/>
      <c r="F304" s="44"/>
    </row>
    <row r="305" spans="1:6" x14ac:dyDescent="0.35">
      <c r="A305" s="26">
        <v>43255</v>
      </c>
      <c r="B305" s="36" t="s">
        <v>299</v>
      </c>
      <c r="C305" s="11" t="s">
        <v>593</v>
      </c>
      <c r="D305" s="13" t="s">
        <v>390</v>
      </c>
      <c r="E305" s="45" t="s">
        <v>593</v>
      </c>
      <c r="F305" s="44">
        <f>500*1.2</f>
        <v>600</v>
      </c>
    </row>
    <row r="306" spans="1:6" x14ac:dyDescent="0.35">
      <c r="A306" s="26">
        <v>43258</v>
      </c>
      <c r="B306" s="36" t="s">
        <v>300</v>
      </c>
      <c r="C306" s="11" t="s">
        <v>593</v>
      </c>
      <c r="D306" s="13" t="s">
        <v>391</v>
      </c>
      <c r="E306" s="45"/>
      <c r="F306" s="44"/>
    </row>
    <row r="307" spans="1:6" x14ac:dyDescent="0.35">
      <c r="A307" s="26">
        <v>43262</v>
      </c>
      <c r="B307" s="36" t="s">
        <v>301</v>
      </c>
      <c r="C307" s="11" t="s">
        <v>593</v>
      </c>
      <c r="D307" s="13" t="s">
        <v>593</v>
      </c>
      <c r="E307" s="45"/>
      <c r="F307" s="44"/>
    </row>
    <row r="308" spans="1:6" x14ac:dyDescent="0.35">
      <c r="A308" s="26">
        <v>43263</v>
      </c>
      <c r="B308" s="36" t="s">
        <v>302</v>
      </c>
      <c r="C308" s="11" t="s">
        <v>593</v>
      </c>
      <c r="D308" s="36" t="s">
        <v>392</v>
      </c>
      <c r="E308" s="45" t="s">
        <v>593</v>
      </c>
      <c r="F308" s="44">
        <f>63*1.2</f>
        <v>75.599999999999994</v>
      </c>
    </row>
    <row r="309" spans="1:6" x14ac:dyDescent="0.35">
      <c r="A309" s="26">
        <v>43265</v>
      </c>
      <c r="B309" s="36" t="s">
        <v>303</v>
      </c>
      <c r="C309" s="11" t="s">
        <v>593</v>
      </c>
      <c r="D309" s="36" t="s">
        <v>393</v>
      </c>
      <c r="E309" s="45" t="s">
        <v>593</v>
      </c>
      <c r="F309" s="44">
        <f>2200*1.2</f>
        <v>2640</v>
      </c>
    </row>
    <row r="310" spans="1:6" x14ac:dyDescent="0.35">
      <c r="A310" s="26">
        <v>43266</v>
      </c>
      <c r="B310" s="36" t="s">
        <v>277</v>
      </c>
      <c r="C310" s="11" t="s">
        <v>593</v>
      </c>
      <c r="D310" s="13" t="s">
        <v>593</v>
      </c>
      <c r="E310" s="45"/>
      <c r="F310" s="44"/>
    </row>
    <row r="311" spans="1:6" x14ac:dyDescent="0.35">
      <c r="A311" s="26">
        <v>43269</v>
      </c>
      <c r="B311" s="36" t="s">
        <v>159</v>
      </c>
      <c r="C311" s="11" t="s">
        <v>593</v>
      </c>
      <c r="D311" s="13" t="s">
        <v>593</v>
      </c>
      <c r="E311" s="45"/>
      <c r="F311" s="44"/>
    </row>
    <row r="312" spans="1:6" x14ac:dyDescent="0.35">
      <c r="A312" s="26">
        <v>43270</v>
      </c>
      <c r="B312" s="36" t="s">
        <v>304</v>
      </c>
      <c r="C312" s="11" t="s">
        <v>593</v>
      </c>
      <c r="D312" s="13" t="s">
        <v>593</v>
      </c>
      <c r="E312" s="45"/>
      <c r="F312" s="44"/>
    </row>
    <row r="313" spans="1:6" x14ac:dyDescent="0.35">
      <c r="A313" s="26">
        <v>43271</v>
      </c>
      <c r="B313" s="36" t="s">
        <v>305</v>
      </c>
      <c r="C313" s="11" t="s">
        <v>593</v>
      </c>
      <c r="D313" s="13" t="s">
        <v>593</v>
      </c>
      <c r="E313" s="45"/>
      <c r="F313" s="44"/>
    </row>
    <row r="314" spans="1:6" x14ac:dyDescent="0.35">
      <c r="A314" s="26">
        <v>43271</v>
      </c>
      <c r="B314" s="36" t="s">
        <v>306</v>
      </c>
      <c r="C314" s="11" t="s">
        <v>593</v>
      </c>
      <c r="D314" s="13" t="s">
        <v>593</v>
      </c>
      <c r="E314" s="45"/>
      <c r="F314" s="44"/>
    </row>
    <row r="315" spans="1:6" x14ac:dyDescent="0.35">
      <c r="A315" s="26">
        <v>43276</v>
      </c>
      <c r="B315" s="36" t="s">
        <v>307</v>
      </c>
      <c r="C315" s="52" t="s">
        <v>593</v>
      </c>
      <c r="D315" s="13" t="s">
        <v>593</v>
      </c>
      <c r="E315" s="45"/>
      <c r="F315" s="44"/>
    </row>
    <row r="316" spans="1:6" x14ac:dyDescent="0.35">
      <c r="A316" s="26">
        <v>43276</v>
      </c>
      <c r="B316" s="36" t="s">
        <v>308</v>
      </c>
      <c r="C316" s="10" t="s">
        <v>84</v>
      </c>
      <c r="D316" s="13" t="s">
        <v>593</v>
      </c>
      <c r="E316" s="45"/>
      <c r="F316" s="44"/>
    </row>
    <row r="317" spans="1:6" x14ac:dyDescent="0.35">
      <c r="A317" s="26">
        <v>43277</v>
      </c>
      <c r="B317" s="36" t="s">
        <v>309</v>
      </c>
      <c r="C317" s="12" t="s">
        <v>84</v>
      </c>
      <c r="D317" s="13" t="s">
        <v>593</v>
      </c>
      <c r="E317" s="45"/>
      <c r="F317" s="44"/>
    </row>
    <row r="318" spans="1:6" x14ac:dyDescent="0.35">
      <c r="A318" s="8">
        <v>43279</v>
      </c>
      <c r="B318" s="13" t="s">
        <v>310</v>
      </c>
      <c r="C318" s="11" t="s">
        <v>593</v>
      </c>
      <c r="D318" s="13" t="s">
        <v>394</v>
      </c>
      <c r="E318" s="45" t="s">
        <v>593</v>
      </c>
      <c r="F318" s="44">
        <v>3682.8</v>
      </c>
    </row>
    <row r="319" spans="1:6" x14ac:dyDescent="0.35">
      <c r="A319" s="26">
        <v>43281</v>
      </c>
      <c r="B319" s="36" t="s">
        <v>311</v>
      </c>
      <c r="C319" s="52" t="s">
        <v>593</v>
      </c>
      <c r="D319" s="13" t="s">
        <v>395</v>
      </c>
      <c r="E319" s="45" t="s">
        <v>593</v>
      </c>
      <c r="F319" s="44">
        <v>4099.2</v>
      </c>
    </row>
    <row r="320" spans="1:6" x14ac:dyDescent="0.35">
      <c r="A320" s="26">
        <v>43283</v>
      </c>
      <c r="B320" s="36" t="s">
        <v>312</v>
      </c>
      <c r="C320" s="12" t="s">
        <v>84</v>
      </c>
      <c r="D320" s="13" t="s">
        <v>593</v>
      </c>
      <c r="E320" s="45"/>
      <c r="F320" s="44"/>
    </row>
    <row r="321" spans="1:6" x14ac:dyDescent="0.35">
      <c r="A321" s="26">
        <v>43284</v>
      </c>
      <c r="B321" s="36" t="s">
        <v>313</v>
      </c>
      <c r="C321" s="11" t="s">
        <v>593</v>
      </c>
      <c r="D321" s="13" t="s">
        <v>396</v>
      </c>
      <c r="E321" s="45" t="s">
        <v>593</v>
      </c>
      <c r="F321" s="44">
        <v>82.8</v>
      </c>
    </row>
    <row r="322" spans="1:6" x14ac:dyDescent="0.35">
      <c r="A322" s="26">
        <v>43285</v>
      </c>
      <c r="B322" s="36" t="s">
        <v>122</v>
      </c>
      <c r="C322" s="11" t="s">
        <v>593</v>
      </c>
      <c r="D322" s="36" t="s">
        <v>397</v>
      </c>
      <c r="E322" s="45" t="s">
        <v>593</v>
      </c>
      <c r="F322" s="44">
        <v>5739.6</v>
      </c>
    </row>
    <row r="323" spans="1:6" x14ac:dyDescent="0.35">
      <c r="A323" s="26">
        <v>43340</v>
      </c>
      <c r="B323" s="36" t="s">
        <v>314</v>
      </c>
      <c r="C323" s="11" t="s">
        <v>593</v>
      </c>
      <c r="D323" s="13" t="s">
        <v>398</v>
      </c>
      <c r="E323" s="45" t="s">
        <v>593</v>
      </c>
      <c r="F323" s="44">
        <f>11140.8*2</f>
        <v>22281.599999999999</v>
      </c>
    </row>
    <row r="324" spans="1:6" x14ac:dyDescent="0.35">
      <c r="A324" s="8">
        <v>43349</v>
      </c>
      <c r="B324" s="3" t="s">
        <v>361</v>
      </c>
      <c r="C324" s="11" t="s">
        <v>593</v>
      </c>
      <c r="D324" s="13" t="s">
        <v>593</v>
      </c>
      <c r="E324" s="45"/>
      <c r="F324" s="44"/>
    </row>
    <row r="325" spans="1:6" x14ac:dyDescent="0.35">
      <c r="A325" s="26">
        <v>43353</v>
      </c>
      <c r="B325" s="36" t="s">
        <v>315</v>
      </c>
      <c r="C325" s="11" t="s">
        <v>593</v>
      </c>
      <c r="D325" s="13" t="s">
        <v>593</v>
      </c>
      <c r="E325" s="45"/>
      <c r="F325" s="44"/>
    </row>
    <row r="326" spans="1:6" x14ac:dyDescent="0.35">
      <c r="A326" s="26">
        <v>43355</v>
      </c>
      <c r="B326" s="36" t="s">
        <v>139</v>
      </c>
      <c r="C326" s="11" t="s">
        <v>593</v>
      </c>
      <c r="D326" s="13" t="s">
        <v>593</v>
      </c>
      <c r="E326" s="45"/>
      <c r="F326" s="44"/>
    </row>
    <row r="327" spans="1:6" x14ac:dyDescent="0.35">
      <c r="A327" s="26">
        <v>43357</v>
      </c>
      <c r="B327" s="36" t="s">
        <v>285</v>
      </c>
      <c r="C327" s="11" t="s">
        <v>593</v>
      </c>
      <c r="D327" s="13" t="s">
        <v>399</v>
      </c>
      <c r="E327" s="45"/>
      <c r="F327" s="44"/>
    </row>
    <row r="328" spans="1:6" x14ac:dyDescent="0.35">
      <c r="A328" s="26">
        <v>43357</v>
      </c>
      <c r="B328" s="36" t="s">
        <v>316</v>
      </c>
      <c r="C328" s="11" t="s">
        <v>593</v>
      </c>
      <c r="D328" s="13" t="s">
        <v>593</v>
      </c>
      <c r="E328" s="45"/>
      <c r="F328" s="44"/>
    </row>
    <row r="329" spans="1:6" x14ac:dyDescent="0.35">
      <c r="A329" s="26">
        <v>43360</v>
      </c>
      <c r="B329" s="36" t="s">
        <v>317</v>
      </c>
      <c r="C329" s="52" t="s">
        <v>593</v>
      </c>
      <c r="D329" s="13" t="s">
        <v>593</v>
      </c>
      <c r="E329" s="45"/>
      <c r="F329" s="44"/>
    </row>
    <row r="330" spans="1:6" x14ac:dyDescent="0.35">
      <c r="A330" s="26">
        <v>43361</v>
      </c>
      <c r="B330" s="36" t="s">
        <v>318</v>
      </c>
      <c r="C330" s="11" t="s">
        <v>593</v>
      </c>
      <c r="D330" s="13" t="s">
        <v>593</v>
      </c>
      <c r="E330" s="45"/>
      <c r="F330" s="44"/>
    </row>
    <row r="331" spans="1:6" x14ac:dyDescent="0.35">
      <c r="A331" s="26">
        <v>43361</v>
      </c>
      <c r="B331" s="36" t="s">
        <v>319</v>
      </c>
      <c r="C331" s="12" t="s">
        <v>84</v>
      </c>
      <c r="D331" s="13" t="s">
        <v>593</v>
      </c>
      <c r="E331" s="45"/>
      <c r="F331" s="44"/>
    </row>
    <row r="332" spans="1:6" x14ac:dyDescent="0.35">
      <c r="A332" s="8">
        <v>43362</v>
      </c>
      <c r="B332" s="3" t="s">
        <v>362</v>
      </c>
      <c r="C332" s="11" t="s">
        <v>593</v>
      </c>
      <c r="D332" s="13" t="s">
        <v>593</v>
      </c>
      <c r="E332" s="45" t="s">
        <v>593</v>
      </c>
      <c r="F332" s="44">
        <f>69*1.2</f>
        <v>82.8</v>
      </c>
    </row>
    <row r="333" spans="1:6" x14ac:dyDescent="0.35">
      <c r="A333" s="26">
        <v>43362</v>
      </c>
      <c r="B333" s="36" t="s">
        <v>320</v>
      </c>
      <c r="C333" s="11" t="s">
        <v>593</v>
      </c>
      <c r="D333" s="13" t="s">
        <v>593</v>
      </c>
      <c r="E333" s="45"/>
      <c r="F333" s="44"/>
    </row>
    <row r="334" spans="1:6" x14ac:dyDescent="0.35">
      <c r="A334" s="26">
        <v>43364</v>
      </c>
      <c r="B334" s="36" t="s">
        <v>321</v>
      </c>
      <c r="C334" s="11" t="s">
        <v>593</v>
      </c>
      <c r="D334" s="13" t="s">
        <v>400</v>
      </c>
      <c r="E334" s="45" t="s">
        <v>593</v>
      </c>
      <c r="F334" s="44">
        <v>735.6</v>
      </c>
    </row>
    <row r="335" spans="1:6" x14ac:dyDescent="0.35">
      <c r="A335" s="26">
        <v>43367</v>
      </c>
      <c r="B335" s="36" t="s">
        <v>322</v>
      </c>
      <c r="C335" s="11" t="s">
        <v>593</v>
      </c>
      <c r="D335" s="13" t="s">
        <v>401</v>
      </c>
      <c r="E335" s="45" t="s">
        <v>593</v>
      </c>
      <c r="F335" s="44">
        <f>63*1.2</f>
        <v>75.599999999999994</v>
      </c>
    </row>
    <row r="336" spans="1:6" x14ac:dyDescent="0.35">
      <c r="A336" s="26">
        <v>43369</v>
      </c>
      <c r="B336" s="36" t="s">
        <v>39</v>
      </c>
      <c r="C336" s="11" t="s">
        <v>593</v>
      </c>
      <c r="D336" s="13" t="s">
        <v>593</v>
      </c>
      <c r="E336" s="45" t="s">
        <v>593</v>
      </c>
      <c r="F336" s="44">
        <f>1961.4+7049.4</f>
        <v>9010.7999999999993</v>
      </c>
    </row>
    <row r="337" spans="1:6" x14ac:dyDescent="0.35">
      <c r="A337" s="26">
        <v>43369</v>
      </c>
      <c r="B337" s="36" t="s">
        <v>323</v>
      </c>
      <c r="C337" s="11" t="s">
        <v>593</v>
      </c>
      <c r="D337" s="13" t="s">
        <v>242</v>
      </c>
      <c r="E337" s="45"/>
      <c r="F337" s="44"/>
    </row>
    <row r="338" spans="1:6" x14ac:dyDescent="0.35">
      <c r="A338" s="26">
        <v>43370</v>
      </c>
      <c r="B338" s="36" t="s">
        <v>324</v>
      </c>
      <c r="C338" s="11" t="s">
        <v>593</v>
      </c>
      <c r="D338" s="13" t="s">
        <v>194</v>
      </c>
      <c r="E338" s="45"/>
      <c r="F338" s="44"/>
    </row>
    <row r="339" spans="1:6" x14ac:dyDescent="0.35">
      <c r="A339" s="26">
        <v>43371</v>
      </c>
      <c r="B339" s="36" t="s">
        <v>295</v>
      </c>
      <c r="C339" s="52" t="s">
        <v>593</v>
      </c>
      <c r="D339" s="13" t="s">
        <v>593</v>
      </c>
      <c r="E339" s="45"/>
      <c r="F339" s="44"/>
    </row>
    <row r="340" spans="1:6" x14ac:dyDescent="0.35">
      <c r="A340" s="26">
        <v>43374</v>
      </c>
      <c r="B340" s="36" t="s">
        <v>325</v>
      </c>
      <c r="C340" s="11" t="s">
        <v>593</v>
      </c>
      <c r="D340" s="13" t="s">
        <v>402</v>
      </c>
      <c r="E340" s="45"/>
      <c r="F340" s="44"/>
    </row>
    <row r="341" spans="1:6" x14ac:dyDescent="0.35">
      <c r="A341" s="26">
        <v>43375</v>
      </c>
      <c r="B341" s="36" t="s">
        <v>326</v>
      </c>
      <c r="C341" s="11" t="s">
        <v>593</v>
      </c>
      <c r="D341" s="36" t="s">
        <v>197</v>
      </c>
      <c r="E341" s="45"/>
      <c r="F341" s="44"/>
    </row>
    <row r="342" spans="1:6" x14ac:dyDescent="0.35">
      <c r="A342" s="26">
        <v>43376</v>
      </c>
      <c r="B342" s="36" t="s">
        <v>327</v>
      </c>
      <c r="C342" s="12" t="s">
        <v>84</v>
      </c>
      <c r="D342" s="13" t="s">
        <v>403</v>
      </c>
      <c r="E342" s="45"/>
      <c r="F342" s="44"/>
    </row>
    <row r="343" spans="1:6" x14ac:dyDescent="0.35">
      <c r="A343" s="26">
        <v>43377</v>
      </c>
      <c r="B343" s="36" t="s">
        <v>108</v>
      </c>
      <c r="C343" s="11" t="s">
        <v>593</v>
      </c>
      <c r="D343" s="36" t="s">
        <v>404</v>
      </c>
      <c r="E343" s="45" t="s">
        <v>593</v>
      </c>
      <c r="F343" s="44">
        <v>2730</v>
      </c>
    </row>
    <row r="344" spans="1:6" x14ac:dyDescent="0.35">
      <c r="A344" s="26">
        <v>43378</v>
      </c>
      <c r="B344" s="36" t="s">
        <v>328</v>
      </c>
      <c r="C344" s="11" t="s">
        <v>593</v>
      </c>
      <c r="D344" s="13" t="s">
        <v>593</v>
      </c>
      <c r="E344" s="45"/>
      <c r="F344" s="44"/>
    </row>
    <row r="345" spans="1:6" x14ac:dyDescent="0.35">
      <c r="A345" s="26">
        <v>43381</v>
      </c>
      <c r="B345" s="36" t="s">
        <v>329</v>
      </c>
      <c r="C345" s="11" t="s">
        <v>593</v>
      </c>
      <c r="D345" s="13" t="s">
        <v>189</v>
      </c>
      <c r="E345" s="45"/>
      <c r="F345" s="44"/>
    </row>
    <row r="346" spans="1:6" x14ac:dyDescent="0.35">
      <c r="A346" s="26">
        <v>43382</v>
      </c>
      <c r="B346" s="36" t="s">
        <v>330</v>
      </c>
      <c r="C346" s="11" t="s">
        <v>593</v>
      </c>
      <c r="D346" s="13" t="s">
        <v>189</v>
      </c>
      <c r="E346" s="45"/>
      <c r="F346" s="44"/>
    </row>
    <row r="347" spans="1:6" x14ac:dyDescent="0.35">
      <c r="A347" s="26">
        <v>43383</v>
      </c>
      <c r="B347" s="36" t="s">
        <v>331</v>
      </c>
      <c r="C347" s="11" t="s">
        <v>593</v>
      </c>
      <c r="D347" s="13" t="s">
        <v>593</v>
      </c>
      <c r="E347" s="45"/>
      <c r="F347" s="44"/>
    </row>
    <row r="348" spans="1:6" x14ac:dyDescent="0.35">
      <c r="A348" s="26">
        <v>43384</v>
      </c>
      <c r="B348" s="36" t="s">
        <v>332</v>
      </c>
      <c r="C348" s="11" t="s">
        <v>593</v>
      </c>
      <c r="D348" s="13" t="s">
        <v>405</v>
      </c>
      <c r="E348" s="45" t="s">
        <v>593</v>
      </c>
      <c r="F348" s="44">
        <v>1728</v>
      </c>
    </row>
    <row r="349" spans="1:6" x14ac:dyDescent="0.35">
      <c r="A349" s="26">
        <v>43385</v>
      </c>
      <c r="B349" s="36" t="s">
        <v>333</v>
      </c>
      <c r="C349" s="11" t="s">
        <v>593</v>
      </c>
      <c r="D349" s="13" t="s">
        <v>406</v>
      </c>
      <c r="E349" s="45" t="s">
        <v>593</v>
      </c>
      <c r="F349" s="44">
        <f>294*1.2*2</f>
        <v>705.6</v>
      </c>
    </row>
    <row r="350" spans="1:6" x14ac:dyDescent="0.35">
      <c r="A350" s="26">
        <v>43388</v>
      </c>
      <c r="B350" s="36" t="s">
        <v>334</v>
      </c>
      <c r="C350" s="11" t="s">
        <v>593</v>
      </c>
      <c r="D350" s="13" t="s">
        <v>407</v>
      </c>
      <c r="E350" s="45"/>
      <c r="F350" s="44"/>
    </row>
    <row r="351" spans="1:6" x14ac:dyDescent="0.35">
      <c r="A351" s="26">
        <v>43391</v>
      </c>
      <c r="B351" s="36" t="s">
        <v>285</v>
      </c>
      <c r="C351" s="52" t="s">
        <v>593</v>
      </c>
      <c r="D351" s="13" t="s">
        <v>399</v>
      </c>
      <c r="E351" s="45"/>
      <c r="F351" s="44">
        <v>0</v>
      </c>
    </row>
    <row r="352" spans="1:6" x14ac:dyDescent="0.35">
      <c r="A352" s="26">
        <v>43392</v>
      </c>
      <c r="B352" s="36" t="s">
        <v>336</v>
      </c>
      <c r="C352" s="11" t="s">
        <v>593</v>
      </c>
      <c r="D352" s="13" t="s">
        <v>593</v>
      </c>
      <c r="E352" s="45"/>
      <c r="F352" s="44"/>
    </row>
    <row r="353" spans="1:6" x14ac:dyDescent="0.35">
      <c r="A353" s="26">
        <v>43395</v>
      </c>
      <c r="B353" s="36" t="s">
        <v>337</v>
      </c>
      <c r="C353" s="10" t="s">
        <v>84</v>
      </c>
      <c r="D353" s="13" t="s">
        <v>593</v>
      </c>
      <c r="E353" s="45"/>
      <c r="F353" s="44"/>
    </row>
    <row r="354" spans="1:6" x14ac:dyDescent="0.35">
      <c r="A354" s="26">
        <v>43397</v>
      </c>
      <c r="B354" s="36" t="s">
        <v>338</v>
      </c>
      <c r="C354" s="11" t="s">
        <v>593</v>
      </c>
      <c r="D354" s="13" t="s">
        <v>593</v>
      </c>
      <c r="E354" s="45"/>
      <c r="F354" s="44"/>
    </row>
    <row r="355" spans="1:6" x14ac:dyDescent="0.35">
      <c r="A355" s="26">
        <v>43409</v>
      </c>
      <c r="B355" s="36" t="s">
        <v>339</v>
      </c>
      <c r="C355" s="12" t="s">
        <v>84</v>
      </c>
      <c r="D355" s="13" t="s">
        <v>593</v>
      </c>
      <c r="E355" s="45"/>
      <c r="F355" s="44"/>
    </row>
    <row r="356" spans="1:6" x14ac:dyDescent="0.35">
      <c r="A356" s="26">
        <v>43410</v>
      </c>
      <c r="B356" s="36" t="s">
        <v>230</v>
      </c>
      <c r="C356" s="11" t="s">
        <v>593</v>
      </c>
      <c r="D356" s="13" t="s">
        <v>408</v>
      </c>
      <c r="E356" s="45" t="s">
        <v>593</v>
      </c>
      <c r="F356" s="44">
        <v>5775.6</v>
      </c>
    </row>
    <row r="357" spans="1:6" x14ac:dyDescent="0.35">
      <c r="A357" s="26">
        <v>43411</v>
      </c>
      <c r="B357" s="36" t="s">
        <v>340</v>
      </c>
      <c r="C357" s="11" t="s">
        <v>593</v>
      </c>
      <c r="D357" s="13" t="s">
        <v>593</v>
      </c>
      <c r="E357" s="45"/>
      <c r="F357" s="44"/>
    </row>
    <row r="358" spans="1:6" x14ac:dyDescent="0.35">
      <c r="A358" s="26">
        <v>43412</v>
      </c>
      <c r="B358" s="36" t="s">
        <v>341</v>
      </c>
      <c r="C358" s="11" t="s">
        <v>593</v>
      </c>
      <c r="D358" s="13" t="s">
        <v>593</v>
      </c>
      <c r="E358" s="45"/>
      <c r="F358" s="44"/>
    </row>
    <row r="359" spans="1:6" x14ac:dyDescent="0.35">
      <c r="A359" s="26">
        <v>43413</v>
      </c>
      <c r="B359" s="36" t="s">
        <v>342</v>
      </c>
      <c r="C359" s="11" t="s">
        <v>593</v>
      </c>
      <c r="D359" s="13" t="s">
        <v>593</v>
      </c>
      <c r="E359" s="45"/>
      <c r="F359" s="44"/>
    </row>
    <row r="360" spans="1:6" x14ac:dyDescent="0.35">
      <c r="A360" s="26">
        <v>43416</v>
      </c>
      <c r="B360" s="36" t="s">
        <v>343</v>
      </c>
      <c r="C360" s="52" t="s">
        <v>593</v>
      </c>
      <c r="D360" s="13" t="s">
        <v>409</v>
      </c>
      <c r="E360" s="45" t="s">
        <v>593</v>
      </c>
      <c r="F360" s="44">
        <v>75</v>
      </c>
    </row>
    <row r="361" spans="1:6" x14ac:dyDescent="0.35">
      <c r="A361" s="26">
        <v>43417</v>
      </c>
      <c r="B361" s="36" t="s">
        <v>344</v>
      </c>
      <c r="C361" s="11" t="s">
        <v>593</v>
      </c>
      <c r="D361" s="13" t="s">
        <v>593</v>
      </c>
      <c r="E361" s="45"/>
      <c r="F361" s="44"/>
    </row>
    <row r="362" spans="1:6" x14ac:dyDescent="0.35">
      <c r="A362" s="26">
        <v>43417</v>
      </c>
      <c r="B362" s="36" t="s">
        <v>367</v>
      </c>
      <c r="C362" s="11" t="s">
        <v>593</v>
      </c>
      <c r="D362" s="13" t="s">
        <v>593</v>
      </c>
      <c r="E362" s="45"/>
      <c r="F362" s="44"/>
    </row>
    <row r="363" spans="1:6" x14ac:dyDescent="0.35">
      <c r="A363" s="26">
        <v>43418</v>
      </c>
      <c r="B363" s="36" t="s">
        <v>345</v>
      </c>
      <c r="C363" s="12" t="s">
        <v>84</v>
      </c>
      <c r="D363" s="13" t="s">
        <v>593</v>
      </c>
      <c r="E363" s="45"/>
      <c r="F363" s="44"/>
    </row>
    <row r="364" spans="1:6" x14ac:dyDescent="0.35">
      <c r="A364" s="26">
        <v>43420</v>
      </c>
      <c r="B364" s="36" t="s">
        <v>346</v>
      </c>
      <c r="C364" s="11" t="s">
        <v>593</v>
      </c>
      <c r="D364" s="36" t="s">
        <v>410</v>
      </c>
      <c r="E364" s="45"/>
      <c r="F364" s="44"/>
    </row>
    <row r="365" spans="1:6" x14ac:dyDescent="0.35">
      <c r="A365" s="26">
        <v>43422</v>
      </c>
      <c r="B365" s="36" t="s">
        <v>347</v>
      </c>
      <c r="C365" s="52" t="s">
        <v>593</v>
      </c>
      <c r="D365" s="13" t="s">
        <v>593</v>
      </c>
      <c r="E365" s="45"/>
      <c r="F365" s="44">
        <v>0</v>
      </c>
    </row>
    <row r="366" spans="1:6" x14ac:dyDescent="0.35">
      <c r="A366" s="26">
        <v>43423</v>
      </c>
      <c r="B366" s="36" t="s">
        <v>366</v>
      </c>
      <c r="C366" s="11" t="s">
        <v>593</v>
      </c>
      <c r="D366" s="2" t="s">
        <v>419</v>
      </c>
      <c r="E366" s="45" t="s">
        <v>593</v>
      </c>
      <c r="F366" s="45">
        <v>600</v>
      </c>
    </row>
    <row r="367" spans="1:6" x14ac:dyDescent="0.35">
      <c r="A367" s="26">
        <v>43423</v>
      </c>
      <c r="B367" s="36" t="s">
        <v>348</v>
      </c>
      <c r="C367" s="11" t="s">
        <v>593</v>
      </c>
      <c r="D367" s="13" t="s">
        <v>593</v>
      </c>
      <c r="E367" s="45"/>
      <c r="F367" s="44"/>
    </row>
    <row r="368" spans="1:6" x14ac:dyDescent="0.35">
      <c r="A368" s="26">
        <v>43424</v>
      </c>
      <c r="B368" s="36" t="s">
        <v>349</v>
      </c>
      <c r="C368" s="11" t="s">
        <v>593</v>
      </c>
      <c r="D368" s="13" t="s">
        <v>411</v>
      </c>
      <c r="E368" s="45" t="s">
        <v>593</v>
      </c>
      <c r="F368" s="44">
        <f>881.4*2</f>
        <v>1762.8</v>
      </c>
    </row>
    <row r="369" spans="1:6" x14ac:dyDescent="0.35">
      <c r="A369" s="26">
        <v>43425</v>
      </c>
      <c r="B369" s="36" t="s">
        <v>350</v>
      </c>
      <c r="C369" s="12" t="s">
        <v>84</v>
      </c>
      <c r="D369" s="13" t="s">
        <v>593</v>
      </c>
      <c r="E369" s="45"/>
      <c r="F369" s="44"/>
    </row>
    <row r="370" spans="1:6" x14ac:dyDescent="0.35">
      <c r="A370" s="26">
        <v>43426</v>
      </c>
      <c r="B370" s="36" t="s">
        <v>351</v>
      </c>
      <c r="C370" s="11" t="s">
        <v>593</v>
      </c>
      <c r="D370" s="36" t="s">
        <v>412</v>
      </c>
      <c r="E370" s="45" t="s">
        <v>593</v>
      </c>
      <c r="F370" s="44">
        <v>1755.6</v>
      </c>
    </row>
    <row r="371" spans="1:6" x14ac:dyDescent="0.35">
      <c r="A371" s="26">
        <v>43427</v>
      </c>
      <c r="B371" s="36" t="s">
        <v>352</v>
      </c>
      <c r="C371" s="11" t="s">
        <v>593</v>
      </c>
      <c r="D371" s="13" t="s">
        <v>413</v>
      </c>
      <c r="E371" s="45" t="s">
        <v>593</v>
      </c>
      <c r="F371" s="44">
        <v>210</v>
      </c>
    </row>
    <row r="372" spans="1:6" x14ac:dyDescent="0.35">
      <c r="A372" s="26">
        <v>43428</v>
      </c>
      <c r="B372" s="36" t="s">
        <v>232</v>
      </c>
      <c r="C372" s="11" t="s">
        <v>593</v>
      </c>
      <c r="D372" s="13" t="s">
        <v>414</v>
      </c>
      <c r="E372" s="45" t="s">
        <v>593</v>
      </c>
      <c r="F372" s="44">
        <v>1752</v>
      </c>
    </row>
    <row r="373" spans="1:6" x14ac:dyDescent="0.35">
      <c r="A373" s="8">
        <v>43430</v>
      </c>
      <c r="B373" s="3" t="s">
        <v>365</v>
      </c>
      <c r="C373" s="11" t="s">
        <v>593</v>
      </c>
      <c r="D373" s="13" t="s">
        <v>418</v>
      </c>
      <c r="E373" s="45" t="s">
        <v>593</v>
      </c>
      <c r="F373" s="44">
        <v>600</v>
      </c>
    </row>
    <row r="374" spans="1:6" x14ac:dyDescent="0.35">
      <c r="A374" s="26">
        <v>43431</v>
      </c>
      <c r="B374" s="36" t="s">
        <v>353</v>
      </c>
      <c r="C374" s="11" t="s">
        <v>593</v>
      </c>
      <c r="D374" s="13" t="s">
        <v>593</v>
      </c>
      <c r="E374" s="45"/>
      <c r="F374" s="44"/>
    </row>
    <row r="375" spans="1:6" x14ac:dyDescent="0.35">
      <c r="A375" s="26">
        <v>43432</v>
      </c>
      <c r="B375" s="36" t="s">
        <v>354</v>
      </c>
      <c r="C375" s="11" t="s">
        <v>593</v>
      </c>
      <c r="D375" s="13" t="s">
        <v>415</v>
      </c>
      <c r="E375" s="45" t="s">
        <v>593</v>
      </c>
      <c r="F375" s="44">
        <v>75.599999999999994</v>
      </c>
    </row>
    <row r="376" spans="1:6" x14ac:dyDescent="0.35">
      <c r="A376" s="26">
        <v>43433</v>
      </c>
      <c r="B376" s="36" t="s">
        <v>280</v>
      </c>
      <c r="C376" s="11" t="s">
        <v>593</v>
      </c>
      <c r="D376" s="13" t="s">
        <v>593</v>
      </c>
      <c r="E376" s="45" t="s">
        <v>593</v>
      </c>
      <c r="F376" s="44">
        <v>165.6</v>
      </c>
    </row>
    <row r="377" spans="1:6" x14ac:dyDescent="0.35">
      <c r="A377" s="26">
        <v>43434</v>
      </c>
      <c r="B377" s="36" t="s">
        <v>355</v>
      </c>
      <c r="C377" s="11" t="s">
        <v>593</v>
      </c>
      <c r="D377" s="13" t="s">
        <v>241</v>
      </c>
      <c r="E377" s="45" t="s">
        <v>593</v>
      </c>
      <c r="F377" s="44">
        <v>75.599999999999994</v>
      </c>
    </row>
    <row r="378" spans="1:6" x14ac:dyDescent="0.35">
      <c r="A378" s="8">
        <v>43437</v>
      </c>
      <c r="B378" s="3" t="s">
        <v>364</v>
      </c>
      <c r="C378" s="11" t="s">
        <v>593</v>
      </c>
      <c r="D378" s="13" t="s">
        <v>417</v>
      </c>
      <c r="E378" s="45" t="s">
        <v>593</v>
      </c>
      <c r="F378" s="44">
        <v>100.8</v>
      </c>
    </row>
    <row r="379" spans="1:6" x14ac:dyDescent="0.35">
      <c r="A379" s="26">
        <v>43438</v>
      </c>
      <c r="B379" s="13" t="s">
        <v>356</v>
      </c>
      <c r="C379" s="11" t="s">
        <v>593</v>
      </c>
      <c r="D379" s="13" t="s">
        <v>187</v>
      </c>
      <c r="E379" s="45" t="s">
        <v>593</v>
      </c>
      <c r="F379" s="44">
        <v>8880</v>
      </c>
    </row>
    <row r="380" spans="1:6" x14ac:dyDescent="0.35">
      <c r="A380" s="26">
        <v>43441</v>
      </c>
      <c r="B380" s="36" t="s">
        <v>295</v>
      </c>
      <c r="C380" s="11" t="s">
        <v>593</v>
      </c>
      <c r="D380" s="13" t="s">
        <v>593</v>
      </c>
      <c r="E380" s="45"/>
      <c r="F380" s="44"/>
    </row>
    <row r="381" spans="1:6" x14ac:dyDescent="0.35">
      <c r="A381" s="26">
        <v>43445</v>
      </c>
      <c r="B381" s="36" t="s">
        <v>335</v>
      </c>
      <c r="C381" s="11" t="s">
        <v>593</v>
      </c>
      <c r="D381" s="13" t="s">
        <v>593</v>
      </c>
      <c r="E381" s="45"/>
      <c r="F381" s="44"/>
    </row>
    <row r="382" spans="1:6" x14ac:dyDescent="0.35">
      <c r="A382" s="26">
        <v>43446</v>
      </c>
      <c r="B382" s="36" t="s">
        <v>357</v>
      </c>
      <c r="C382" s="11" t="s">
        <v>593</v>
      </c>
      <c r="D382" s="13" t="s">
        <v>593</v>
      </c>
      <c r="E382" s="45"/>
      <c r="F382" s="44"/>
    </row>
    <row r="383" spans="1:6" x14ac:dyDescent="0.35">
      <c r="A383" s="26">
        <v>43447</v>
      </c>
      <c r="B383" s="36" t="s">
        <v>163</v>
      </c>
      <c r="C383" s="11" t="s">
        <v>593</v>
      </c>
      <c r="D383" s="13" t="s">
        <v>416</v>
      </c>
      <c r="E383" s="45" t="s">
        <v>593</v>
      </c>
      <c r="F383" s="44">
        <v>75.599999999999994</v>
      </c>
    </row>
    <row r="384" spans="1:6" x14ac:dyDescent="0.35">
      <c r="A384" s="8">
        <v>43451</v>
      </c>
      <c r="B384" s="3" t="s">
        <v>363</v>
      </c>
      <c r="C384" s="11" t="s">
        <v>593</v>
      </c>
      <c r="D384" s="13" t="s">
        <v>593</v>
      </c>
      <c r="E384" s="45"/>
      <c r="F384" s="44"/>
    </row>
    <row r="385" spans="1:6" x14ac:dyDescent="0.35">
      <c r="A385" s="40">
        <v>43452</v>
      </c>
      <c r="B385" s="37" t="s">
        <v>369</v>
      </c>
      <c r="C385" s="11" t="s">
        <v>593</v>
      </c>
      <c r="D385" s="13" t="s">
        <v>420</v>
      </c>
      <c r="E385" s="45" t="s">
        <v>593</v>
      </c>
      <c r="F385" s="44">
        <v>4900.8</v>
      </c>
    </row>
    <row r="386" spans="1:6" x14ac:dyDescent="0.35">
      <c r="A386" s="26">
        <v>43452</v>
      </c>
      <c r="B386" s="36" t="s">
        <v>358</v>
      </c>
      <c r="C386" s="11" t="s">
        <v>593</v>
      </c>
      <c r="D386" s="13" t="s">
        <v>593</v>
      </c>
      <c r="E386" s="45"/>
      <c r="F386" s="44"/>
    </row>
    <row r="387" spans="1:6" x14ac:dyDescent="0.35">
      <c r="A387" s="26">
        <v>43453</v>
      </c>
      <c r="B387" s="36" t="s">
        <v>359</v>
      </c>
      <c r="C387" s="11" t="s">
        <v>593</v>
      </c>
      <c r="D387" s="13" t="s">
        <v>247</v>
      </c>
      <c r="E387" s="45" t="s">
        <v>593</v>
      </c>
      <c r="F387" s="44">
        <v>4215.96</v>
      </c>
    </row>
    <row r="388" spans="1:6" x14ac:dyDescent="0.35">
      <c r="A388" s="26">
        <v>43453</v>
      </c>
      <c r="B388" s="36" t="s">
        <v>368</v>
      </c>
      <c r="C388" s="11" t="s">
        <v>593</v>
      </c>
      <c r="D388" s="13" t="s">
        <v>247</v>
      </c>
      <c r="E388" s="45" t="s">
        <v>593</v>
      </c>
      <c r="F388" s="44">
        <v>201.6</v>
      </c>
    </row>
    <row r="389" spans="1:6" x14ac:dyDescent="0.35">
      <c r="A389" s="8">
        <v>43455</v>
      </c>
      <c r="B389" s="3" t="s">
        <v>360</v>
      </c>
      <c r="C389" s="50" t="s">
        <v>593</v>
      </c>
      <c r="D389" s="39" t="s">
        <v>593</v>
      </c>
      <c r="E389" s="45"/>
      <c r="F389" s="44"/>
    </row>
    <row r="390" spans="1:6" x14ac:dyDescent="0.35">
      <c r="A390" s="8">
        <v>43475</v>
      </c>
      <c r="B390" s="13" t="s">
        <v>421</v>
      </c>
      <c r="C390" s="22" t="s">
        <v>229</v>
      </c>
      <c r="D390" s="39" t="s">
        <v>55</v>
      </c>
      <c r="E390" s="45">
        <v>9300</v>
      </c>
      <c r="F390" s="45">
        <v>11160</v>
      </c>
    </row>
    <row r="391" spans="1:6" x14ac:dyDescent="0.35">
      <c r="A391" s="26">
        <v>43476</v>
      </c>
      <c r="B391" s="36" t="s">
        <v>422</v>
      </c>
      <c r="C391" s="11" t="s">
        <v>84</v>
      </c>
      <c r="D391" s="36" t="s">
        <v>486</v>
      </c>
      <c r="E391" s="45"/>
      <c r="F391" s="45">
        <v>0</v>
      </c>
    </row>
    <row r="392" spans="1:6" x14ac:dyDescent="0.35">
      <c r="A392" s="26">
        <v>43479</v>
      </c>
      <c r="B392" s="36" t="s">
        <v>423</v>
      </c>
      <c r="C392" s="11" t="s">
        <v>84</v>
      </c>
      <c r="D392" s="13" t="s">
        <v>593</v>
      </c>
      <c r="E392" s="45"/>
      <c r="F392" s="45">
        <v>0</v>
      </c>
    </row>
    <row r="393" spans="1:6" x14ac:dyDescent="0.35">
      <c r="A393" s="26">
        <v>43479</v>
      </c>
      <c r="B393" s="36" t="s">
        <v>424</v>
      </c>
      <c r="C393" s="11" t="s">
        <v>593</v>
      </c>
      <c r="D393" s="39" t="s">
        <v>593</v>
      </c>
      <c r="E393" s="45"/>
      <c r="F393" s="45">
        <v>0</v>
      </c>
    </row>
    <row r="394" spans="1:6" x14ac:dyDescent="0.35">
      <c r="A394" s="26">
        <v>43481</v>
      </c>
      <c r="B394" s="36" t="s">
        <v>425</v>
      </c>
      <c r="C394" s="11" t="s">
        <v>84</v>
      </c>
      <c r="D394" s="36" t="s">
        <v>487</v>
      </c>
      <c r="E394" s="45"/>
      <c r="F394" s="45">
        <v>0</v>
      </c>
    </row>
    <row r="395" spans="1:6" x14ac:dyDescent="0.35">
      <c r="A395" s="8">
        <v>43483</v>
      </c>
      <c r="B395" s="13" t="s">
        <v>426</v>
      </c>
      <c r="C395" s="11" t="s">
        <v>84</v>
      </c>
      <c r="D395" s="36" t="s">
        <v>170</v>
      </c>
      <c r="E395" s="45"/>
      <c r="F395" s="45">
        <v>0</v>
      </c>
    </row>
    <row r="396" spans="1:6" x14ac:dyDescent="0.35">
      <c r="A396" s="26">
        <v>43486</v>
      </c>
      <c r="B396" s="36" t="s">
        <v>428</v>
      </c>
      <c r="C396" s="22" t="s">
        <v>164</v>
      </c>
      <c r="D396" s="36" t="s">
        <v>54</v>
      </c>
      <c r="E396" s="45">
        <v>9600</v>
      </c>
      <c r="F396" s="45">
        <v>11520</v>
      </c>
    </row>
    <row r="397" spans="1:6" x14ac:dyDescent="0.35">
      <c r="A397" s="26">
        <v>43486</v>
      </c>
      <c r="B397" s="36" t="s">
        <v>427</v>
      </c>
      <c r="C397" s="11" t="s">
        <v>593</v>
      </c>
      <c r="D397" s="13" t="s">
        <v>194</v>
      </c>
      <c r="E397" s="45"/>
      <c r="F397" s="45">
        <v>0</v>
      </c>
    </row>
    <row r="398" spans="1:6" x14ac:dyDescent="0.35">
      <c r="A398" s="8">
        <v>43489</v>
      </c>
      <c r="B398" s="13" t="s">
        <v>429</v>
      </c>
      <c r="C398" s="22" t="s">
        <v>164</v>
      </c>
      <c r="D398" s="36" t="s">
        <v>488</v>
      </c>
      <c r="E398" s="45">
        <v>4000</v>
      </c>
      <c r="F398" s="45">
        <v>4800</v>
      </c>
    </row>
    <row r="399" spans="1:6" x14ac:dyDescent="0.35">
      <c r="A399" s="26">
        <v>43489</v>
      </c>
      <c r="B399" s="36" t="s">
        <v>430</v>
      </c>
      <c r="C399" s="41" t="s">
        <v>84</v>
      </c>
      <c r="D399" s="36" t="s">
        <v>489</v>
      </c>
      <c r="E399" s="45"/>
      <c r="F399" s="45">
        <v>0</v>
      </c>
    </row>
    <row r="400" spans="1:6" x14ac:dyDescent="0.35">
      <c r="A400" s="26">
        <v>43495</v>
      </c>
      <c r="B400" s="36" t="s">
        <v>431</v>
      </c>
      <c r="C400" s="11" t="s">
        <v>594</v>
      </c>
      <c r="D400" s="39" t="s">
        <v>490</v>
      </c>
      <c r="E400" s="45">
        <v>2800</v>
      </c>
      <c r="F400" s="45">
        <v>3360</v>
      </c>
    </row>
    <row r="401" spans="1:6" x14ac:dyDescent="0.35">
      <c r="A401" s="26">
        <v>43501</v>
      </c>
      <c r="B401" s="36" t="s">
        <v>433</v>
      </c>
      <c r="C401" s="11" t="s">
        <v>84</v>
      </c>
      <c r="D401" s="36" t="s">
        <v>194</v>
      </c>
      <c r="E401" s="45"/>
      <c r="F401" s="45">
        <v>0</v>
      </c>
    </row>
    <row r="402" spans="1:6" x14ac:dyDescent="0.35">
      <c r="A402" s="26">
        <v>43503</v>
      </c>
      <c r="B402" s="36" t="s">
        <v>434</v>
      </c>
      <c r="C402" s="50" t="s">
        <v>84</v>
      </c>
      <c r="D402" s="13" t="s">
        <v>593</v>
      </c>
      <c r="E402" s="45"/>
      <c r="F402" s="45">
        <v>0</v>
      </c>
    </row>
    <row r="403" spans="1:6" x14ac:dyDescent="0.35">
      <c r="A403" s="26">
        <v>43510</v>
      </c>
      <c r="B403" s="36" t="s">
        <v>435</v>
      </c>
      <c r="C403" s="61" t="s">
        <v>229</v>
      </c>
      <c r="D403" s="39" t="s">
        <v>593</v>
      </c>
      <c r="E403" s="45">
        <v>7440</v>
      </c>
      <c r="F403" s="45">
        <v>8928</v>
      </c>
    </row>
    <row r="404" spans="1:6" x14ac:dyDescent="0.35">
      <c r="A404" s="26">
        <v>43515</v>
      </c>
      <c r="B404" s="36" t="s">
        <v>285</v>
      </c>
      <c r="C404" s="11" t="s">
        <v>594</v>
      </c>
      <c r="D404" s="13" t="s">
        <v>399</v>
      </c>
      <c r="E404" s="45">
        <v>666.67</v>
      </c>
      <c r="F404" s="45">
        <v>800.00399999999991</v>
      </c>
    </row>
    <row r="405" spans="1:6" x14ac:dyDescent="0.35">
      <c r="A405" s="26">
        <v>43516</v>
      </c>
      <c r="B405" s="36" t="s">
        <v>425</v>
      </c>
      <c r="C405" s="11" t="s">
        <v>84</v>
      </c>
      <c r="D405" s="13" t="s">
        <v>593</v>
      </c>
      <c r="E405" s="45"/>
      <c r="F405" s="45">
        <v>0</v>
      </c>
    </row>
    <row r="406" spans="1:6" x14ac:dyDescent="0.35">
      <c r="A406" s="26">
        <v>43517</v>
      </c>
      <c r="B406" s="36" t="s">
        <v>285</v>
      </c>
      <c r="C406" s="22" t="s">
        <v>164</v>
      </c>
      <c r="D406" s="39" t="s">
        <v>399</v>
      </c>
      <c r="E406" s="45">
        <v>666.67</v>
      </c>
      <c r="F406" s="45">
        <v>800.00399999999991</v>
      </c>
    </row>
    <row r="407" spans="1:6" x14ac:dyDescent="0.35">
      <c r="A407" s="26">
        <v>43524</v>
      </c>
      <c r="B407" s="36" t="s">
        <v>436</v>
      </c>
      <c r="C407" s="22" t="s">
        <v>164</v>
      </c>
      <c r="D407" s="19" t="s">
        <v>491</v>
      </c>
      <c r="E407" s="45">
        <v>14000</v>
      </c>
      <c r="F407" s="45">
        <v>16800</v>
      </c>
    </row>
    <row r="408" spans="1:6" x14ac:dyDescent="0.35">
      <c r="A408" s="26">
        <v>43535</v>
      </c>
      <c r="B408" s="36" t="s">
        <v>437</v>
      </c>
      <c r="C408" s="11" t="s">
        <v>84</v>
      </c>
      <c r="D408" s="13" t="s">
        <v>492</v>
      </c>
      <c r="E408" s="45"/>
      <c r="F408" s="45">
        <v>0</v>
      </c>
    </row>
    <row r="409" spans="1:6" x14ac:dyDescent="0.35">
      <c r="A409" s="26">
        <v>43538</v>
      </c>
      <c r="B409" s="36" t="s">
        <v>272</v>
      </c>
      <c r="C409" s="11" t="s">
        <v>84</v>
      </c>
      <c r="D409" s="13" t="s">
        <v>593</v>
      </c>
      <c r="E409" s="45"/>
      <c r="F409" s="45">
        <v>0</v>
      </c>
    </row>
    <row r="410" spans="1:6" x14ac:dyDescent="0.35">
      <c r="A410" s="26">
        <v>43542</v>
      </c>
      <c r="B410" s="36" t="s">
        <v>273</v>
      </c>
      <c r="C410" s="11" t="s">
        <v>84</v>
      </c>
      <c r="D410" s="13" t="s">
        <v>593</v>
      </c>
      <c r="E410" s="45"/>
      <c r="F410" s="45">
        <v>0</v>
      </c>
    </row>
    <row r="411" spans="1:6" x14ac:dyDescent="0.35">
      <c r="A411" s="26">
        <v>43545</v>
      </c>
      <c r="B411" s="36" t="s">
        <v>274</v>
      </c>
      <c r="C411" s="50" t="s">
        <v>84</v>
      </c>
      <c r="D411" s="39" t="s">
        <v>593</v>
      </c>
      <c r="E411" s="45"/>
      <c r="F411" s="45">
        <v>0</v>
      </c>
    </row>
    <row r="412" spans="1:6" x14ac:dyDescent="0.35">
      <c r="A412" s="26">
        <v>43550</v>
      </c>
      <c r="B412" s="36" t="s">
        <v>438</v>
      </c>
      <c r="C412" s="22" t="s">
        <v>229</v>
      </c>
      <c r="D412" s="36" t="s">
        <v>493</v>
      </c>
      <c r="E412" s="45">
        <v>1800</v>
      </c>
      <c r="F412" s="45">
        <v>2160</v>
      </c>
    </row>
    <row r="413" spans="1:6" x14ac:dyDescent="0.35">
      <c r="A413" s="26">
        <v>43552</v>
      </c>
      <c r="B413" s="36" t="s">
        <v>439</v>
      </c>
      <c r="C413" s="11" t="s">
        <v>84</v>
      </c>
      <c r="D413" s="39" t="s">
        <v>593</v>
      </c>
      <c r="E413" s="45"/>
      <c r="F413" s="45">
        <v>0</v>
      </c>
    </row>
    <row r="414" spans="1:6" x14ac:dyDescent="0.35">
      <c r="A414" s="26">
        <v>43559</v>
      </c>
      <c r="B414" s="36" t="s">
        <v>440</v>
      </c>
      <c r="C414" s="11" t="s">
        <v>84</v>
      </c>
      <c r="D414" s="36" t="s">
        <v>494</v>
      </c>
      <c r="E414" s="45"/>
      <c r="F414" s="45">
        <v>0</v>
      </c>
    </row>
    <row r="415" spans="1:6" x14ac:dyDescent="0.35">
      <c r="A415" s="26">
        <v>43560</v>
      </c>
      <c r="B415" s="36" t="s">
        <v>282</v>
      </c>
      <c r="C415" s="11" t="s">
        <v>84</v>
      </c>
      <c r="D415" s="39" t="s">
        <v>593</v>
      </c>
      <c r="E415" s="45"/>
      <c r="F415" s="45">
        <v>0</v>
      </c>
    </row>
    <row r="416" spans="1:6" x14ac:dyDescent="0.35">
      <c r="A416" s="8">
        <v>43564</v>
      </c>
      <c r="B416" s="13" t="s">
        <v>441</v>
      </c>
      <c r="C416" s="11" t="s">
        <v>84</v>
      </c>
      <c r="D416" s="39" t="s">
        <v>495</v>
      </c>
      <c r="E416" s="45"/>
      <c r="F416" s="45">
        <v>0</v>
      </c>
    </row>
    <row r="417" spans="1:6" x14ac:dyDescent="0.35">
      <c r="A417" s="8">
        <v>43566</v>
      </c>
      <c r="B417" s="13" t="s">
        <v>442</v>
      </c>
      <c r="C417" s="41" t="s">
        <v>84</v>
      </c>
      <c r="D417" s="39" t="s">
        <v>496</v>
      </c>
      <c r="E417" s="45"/>
      <c r="F417" s="45">
        <v>0</v>
      </c>
    </row>
    <row r="418" spans="1:6" x14ac:dyDescent="0.35">
      <c r="A418" s="26">
        <v>43567</v>
      </c>
      <c r="B418" s="36" t="s">
        <v>443</v>
      </c>
      <c r="C418" s="11" t="s">
        <v>594</v>
      </c>
      <c r="D418" s="19" t="s">
        <v>497</v>
      </c>
      <c r="E418" s="45">
        <v>1400</v>
      </c>
      <c r="F418" s="45">
        <v>1680</v>
      </c>
    </row>
    <row r="419" spans="1:6" x14ac:dyDescent="0.35">
      <c r="A419" s="26">
        <v>43568</v>
      </c>
      <c r="B419" s="36" t="s">
        <v>444</v>
      </c>
      <c r="C419" s="11" t="s">
        <v>84</v>
      </c>
      <c r="D419" s="13" t="s">
        <v>498</v>
      </c>
      <c r="E419" s="45"/>
      <c r="F419" s="45">
        <v>0</v>
      </c>
    </row>
    <row r="420" spans="1:6" x14ac:dyDescent="0.35">
      <c r="A420" s="26">
        <v>43571</v>
      </c>
      <c r="B420" s="36" t="s">
        <v>485</v>
      </c>
      <c r="C420" s="11" t="s">
        <v>84</v>
      </c>
      <c r="D420" s="36" t="s">
        <v>518</v>
      </c>
      <c r="E420" s="45"/>
      <c r="F420" s="45">
        <v>0</v>
      </c>
    </row>
    <row r="421" spans="1:6" x14ac:dyDescent="0.35">
      <c r="A421" s="26">
        <v>43572</v>
      </c>
      <c r="B421" s="36" t="s">
        <v>425</v>
      </c>
      <c r="C421" s="11" t="s">
        <v>84</v>
      </c>
      <c r="D421" s="13" t="s">
        <v>593</v>
      </c>
      <c r="E421" s="45"/>
      <c r="F421" s="45">
        <v>0</v>
      </c>
    </row>
    <row r="422" spans="1:6" x14ac:dyDescent="0.35">
      <c r="A422" s="27">
        <v>43592</v>
      </c>
      <c r="B422" s="36" t="s">
        <v>445</v>
      </c>
      <c r="C422" s="11" t="s">
        <v>84</v>
      </c>
      <c r="D422" s="39" t="s">
        <v>593</v>
      </c>
      <c r="E422" s="46"/>
      <c r="F422" s="45">
        <v>0</v>
      </c>
    </row>
    <row r="423" spans="1:6" x14ac:dyDescent="0.35">
      <c r="A423" s="26">
        <v>43595</v>
      </c>
      <c r="B423" s="36" t="s">
        <v>122</v>
      </c>
      <c r="C423" s="11" t="s">
        <v>84</v>
      </c>
      <c r="D423" s="13" t="s">
        <v>593</v>
      </c>
      <c r="E423" s="45"/>
      <c r="F423" s="45">
        <v>0</v>
      </c>
    </row>
    <row r="424" spans="1:6" x14ac:dyDescent="0.35">
      <c r="A424" s="26">
        <v>43598</v>
      </c>
      <c r="B424" s="36" t="s">
        <v>424</v>
      </c>
      <c r="C424" s="22" t="s">
        <v>164</v>
      </c>
      <c r="D424" s="13" t="s">
        <v>499</v>
      </c>
      <c r="E424" s="45">
        <v>1400</v>
      </c>
      <c r="F424" s="45">
        <v>1680</v>
      </c>
    </row>
    <row r="425" spans="1:6" x14ac:dyDescent="0.35">
      <c r="A425" s="26">
        <v>43599</v>
      </c>
      <c r="B425" s="36" t="s">
        <v>138</v>
      </c>
      <c r="C425" s="11" t="s">
        <v>84</v>
      </c>
      <c r="D425" s="39" t="s">
        <v>593</v>
      </c>
      <c r="E425" s="45"/>
      <c r="F425" s="45">
        <v>0</v>
      </c>
    </row>
    <row r="426" spans="1:6" x14ac:dyDescent="0.35">
      <c r="A426" s="26">
        <v>43600</v>
      </c>
      <c r="B426" s="36" t="s">
        <v>424</v>
      </c>
      <c r="C426" s="22" t="s">
        <v>164</v>
      </c>
      <c r="D426" s="39" t="s">
        <v>593</v>
      </c>
      <c r="E426" s="45">
        <v>1400</v>
      </c>
      <c r="F426" s="45">
        <v>1680</v>
      </c>
    </row>
    <row r="427" spans="1:6" x14ac:dyDescent="0.35">
      <c r="A427" s="26">
        <v>43602</v>
      </c>
      <c r="B427" s="36" t="s">
        <v>446</v>
      </c>
      <c r="C427" s="11" t="s">
        <v>84</v>
      </c>
      <c r="D427" s="36" t="s">
        <v>500</v>
      </c>
      <c r="E427" s="45"/>
      <c r="F427" s="45">
        <v>0</v>
      </c>
    </row>
    <row r="428" spans="1:6" x14ac:dyDescent="0.35">
      <c r="A428" s="26">
        <v>43605</v>
      </c>
      <c r="B428" s="36" t="s">
        <v>1120</v>
      </c>
      <c r="C428" s="11" t="s">
        <v>84</v>
      </c>
      <c r="D428" s="36" t="s">
        <v>501</v>
      </c>
      <c r="E428" s="45"/>
      <c r="F428" s="45">
        <v>0</v>
      </c>
    </row>
    <row r="429" spans="1:6" x14ac:dyDescent="0.35">
      <c r="A429" s="26">
        <v>43608</v>
      </c>
      <c r="B429" s="36" t="s">
        <v>447</v>
      </c>
      <c r="C429" s="11" t="s">
        <v>84</v>
      </c>
      <c r="D429" s="13" t="s">
        <v>593</v>
      </c>
      <c r="E429" s="45"/>
      <c r="F429" s="45">
        <v>0</v>
      </c>
    </row>
    <row r="430" spans="1:6" x14ac:dyDescent="0.35">
      <c r="A430" s="26">
        <v>43620</v>
      </c>
      <c r="B430" s="36" t="s">
        <v>448</v>
      </c>
      <c r="C430" s="61" t="s">
        <v>164</v>
      </c>
      <c r="D430" s="39" t="s">
        <v>593</v>
      </c>
      <c r="E430" s="45">
        <v>12000</v>
      </c>
      <c r="F430" s="45">
        <v>14400</v>
      </c>
    </row>
    <row r="431" spans="1:6" x14ac:dyDescent="0.35">
      <c r="A431" s="26">
        <v>43623</v>
      </c>
      <c r="B431" s="36" t="s">
        <v>449</v>
      </c>
      <c r="C431" s="11" t="s">
        <v>84</v>
      </c>
      <c r="D431" s="39" t="s">
        <v>593</v>
      </c>
      <c r="E431" s="45"/>
      <c r="F431" s="45">
        <v>0</v>
      </c>
    </row>
    <row r="432" spans="1:6" x14ac:dyDescent="0.35">
      <c r="A432" s="26">
        <v>43629</v>
      </c>
      <c r="B432" s="36" t="s">
        <v>450</v>
      </c>
      <c r="C432" s="11" t="s">
        <v>594</v>
      </c>
      <c r="D432" s="39" t="s">
        <v>502</v>
      </c>
      <c r="E432" s="45">
        <v>1528.67</v>
      </c>
      <c r="F432" s="45">
        <v>1834.404</v>
      </c>
    </row>
    <row r="433" spans="1:6" x14ac:dyDescent="0.35">
      <c r="A433" s="26">
        <v>43633</v>
      </c>
      <c r="B433" s="36" t="s">
        <v>432</v>
      </c>
      <c r="C433" s="11" t="s">
        <v>84</v>
      </c>
      <c r="D433" s="13" t="s">
        <v>503</v>
      </c>
      <c r="E433" s="45"/>
      <c r="F433" s="45">
        <v>0</v>
      </c>
    </row>
    <row r="434" spans="1:6" x14ac:dyDescent="0.35">
      <c r="A434" s="26">
        <v>43635</v>
      </c>
      <c r="B434" s="36" t="s">
        <v>446</v>
      </c>
      <c r="C434" s="41" t="s">
        <v>84</v>
      </c>
      <c r="D434" s="19" t="s">
        <v>247</v>
      </c>
      <c r="E434" s="45"/>
      <c r="F434" s="45">
        <v>0</v>
      </c>
    </row>
    <row r="435" spans="1:6" x14ac:dyDescent="0.35">
      <c r="A435" s="26">
        <v>43642</v>
      </c>
      <c r="B435" s="36" t="s">
        <v>451</v>
      </c>
      <c r="C435" s="11" t="s">
        <v>84</v>
      </c>
      <c r="D435" s="39" t="s">
        <v>593</v>
      </c>
      <c r="E435" s="45"/>
      <c r="F435" s="45">
        <v>0</v>
      </c>
    </row>
    <row r="436" spans="1:6" x14ac:dyDescent="0.35">
      <c r="A436" s="8">
        <v>43643</v>
      </c>
      <c r="B436" s="13" t="s">
        <v>452</v>
      </c>
      <c r="C436" s="11" t="s">
        <v>594</v>
      </c>
      <c r="D436" s="13" t="s">
        <v>394</v>
      </c>
      <c r="E436" s="45">
        <v>1400</v>
      </c>
      <c r="F436" s="45">
        <v>1680</v>
      </c>
    </row>
    <row r="437" spans="1:6" x14ac:dyDescent="0.35">
      <c r="A437" s="26">
        <v>43644</v>
      </c>
      <c r="B437" s="36" t="s">
        <v>453</v>
      </c>
      <c r="C437" s="50" t="s">
        <v>84</v>
      </c>
      <c r="D437" s="39" t="s">
        <v>504</v>
      </c>
      <c r="E437" s="45"/>
      <c r="F437" s="45">
        <v>0</v>
      </c>
    </row>
    <row r="438" spans="1:6" x14ac:dyDescent="0.35">
      <c r="A438" s="26">
        <v>43648</v>
      </c>
      <c r="B438" s="36" t="s">
        <v>454</v>
      </c>
      <c r="C438" s="11" t="s">
        <v>84</v>
      </c>
      <c r="D438" s="13" t="s">
        <v>593</v>
      </c>
      <c r="E438" s="45"/>
      <c r="F438" s="45">
        <v>0</v>
      </c>
    </row>
    <row r="439" spans="1:6" x14ac:dyDescent="0.35">
      <c r="A439" s="26">
        <v>43650</v>
      </c>
      <c r="B439" s="36" t="s">
        <v>456</v>
      </c>
      <c r="C439" s="22" t="s">
        <v>229</v>
      </c>
      <c r="D439" s="13" t="s">
        <v>505</v>
      </c>
      <c r="E439" s="45">
        <v>9300</v>
      </c>
      <c r="F439" s="45">
        <v>11160</v>
      </c>
    </row>
    <row r="440" spans="1:6" x14ac:dyDescent="0.35">
      <c r="A440" s="26">
        <v>43651</v>
      </c>
      <c r="B440" s="36" t="s">
        <v>457</v>
      </c>
      <c r="C440" s="22" t="s">
        <v>164</v>
      </c>
      <c r="D440" s="39" t="s">
        <v>593</v>
      </c>
      <c r="E440" s="45">
        <v>4000</v>
      </c>
      <c r="F440" s="45">
        <v>4800</v>
      </c>
    </row>
    <row r="441" spans="1:6" x14ac:dyDescent="0.35">
      <c r="A441" s="26">
        <v>43655</v>
      </c>
      <c r="B441" s="36" t="s">
        <v>458</v>
      </c>
      <c r="C441" s="11" t="s">
        <v>84</v>
      </c>
      <c r="D441" s="39" t="s">
        <v>593</v>
      </c>
      <c r="E441" s="45"/>
      <c r="F441" s="45">
        <v>0</v>
      </c>
    </row>
    <row r="442" spans="1:6" x14ac:dyDescent="0.35">
      <c r="A442" s="26">
        <v>43725</v>
      </c>
      <c r="B442" s="36" t="s">
        <v>459</v>
      </c>
      <c r="C442" s="11" t="s">
        <v>84</v>
      </c>
      <c r="D442" s="13" t="s">
        <v>506</v>
      </c>
      <c r="E442" s="45"/>
      <c r="F442" s="45">
        <v>0</v>
      </c>
    </row>
    <row r="443" spans="1:6" x14ac:dyDescent="0.35">
      <c r="A443" s="26">
        <v>43726</v>
      </c>
      <c r="B443" s="36" t="s">
        <v>430</v>
      </c>
      <c r="C443" s="11" t="s">
        <v>84</v>
      </c>
      <c r="D443" s="39" t="s">
        <v>507</v>
      </c>
      <c r="E443" s="45"/>
      <c r="F443" s="45">
        <v>0</v>
      </c>
    </row>
    <row r="444" spans="1:6" x14ac:dyDescent="0.35">
      <c r="A444" s="26">
        <v>43728</v>
      </c>
      <c r="B444" s="36" t="s">
        <v>122</v>
      </c>
      <c r="C444" s="11" t="s">
        <v>84</v>
      </c>
      <c r="D444" s="13" t="s">
        <v>593</v>
      </c>
      <c r="E444" s="45"/>
      <c r="F444" s="45">
        <v>0</v>
      </c>
    </row>
    <row r="445" spans="1:6" x14ac:dyDescent="0.35">
      <c r="A445" s="26">
        <v>43732</v>
      </c>
      <c r="B445" s="36" t="s">
        <v>333</v>
      </c>
      <c r="C445" s="11" t="s">
        <v>84</v>
      </c>
      <c r="D445" s="13" t="s">
        <v>406</v>
      </c>
      <c r="E445" s="45"/>
      <c r="F445" s="45">
        <v>0</v>
      </c>
    </row>
    <row r="446" spans="1:6" x14ac:dyDescent="0.35">
      <c r="A446" s="26">
        <v>43734</v>
      </c>
      <c r="B446" s="36" t="s">
        <v>460</v>
      </c>
      <c r="C446" s="11" t="s">
        <v>84</v>
      </c>
      <c r="D446" s="13" t="s">
        <v>593</v>
      </c>
      <c r="E446" s="45"/>
      <c r="F446" s="45">
        <v>0</v>
      </c>
    </row>
    <row r="447" spans="1:6" x14ac:dyDescent="0.35">
      <c r="A447" s="26">
        <v>43738</v>
      </c>
      <c r="B447" s="36" t="s">
        <v>462</v>
      </c>
      <c r="C447" s="11" t="s">
        <v>84</v>
      </c>
      <c r="D447" s="13" t="s">
        <v>593</v>
      </c>
      <c r="E447" s="45"/>
      <c r="F447" s="45">
        <v>0</v>
      </c>
    </row>
    <row r="448" spans="1:6" x14ac:dyDescent="0.35">
      <c r="A448" s="26">
        <v>43739</v>
      </c>
      <c r="B448" s="36" t="s">
        <v>461</v>
      </c>
      <c r="C448" s="41" t="s">
        <v>84</v>
      </c>
      <c r="D448" s="39" t="s">
        <v>593</v>
      </c>
      <c r="E448" s="45"/>
      <c r="F448" s="45">
        <v>0</v>
      </c>
    </row>
    <row r="449" spans="1:6" x14ac:dyDescent="0.35">
      <c r="A449" s="26">
        <v>43740</v>
      </c>
      <c r="B449" s="36" t="s">
        <v>463</v>
      </c>
      <c r="C449" s="11" t="s">
        <v>84</v>
      </c>
      <c r="D449" s="39" t="s">
        <v>593</v>
      </c>
      <c r="E449" s="45"/>
      <c r="F449" s="45">
        <v>0</v>
      </c>
    </row>
    <row r="450" spans="1:6" x14ac:dyDescent="0.35">
      <c r="A450" s="26">
        <v>43741</v>
      </c>
      <c r="B450" s="36" t="s">
        <v>464</v>
      </c>
      <c r="C450" s="11" t="s">
        <v>594</v>
      </c>
      <c r="D450" s="13" t="s">
        <v>508</v>
      </c>
      <c r="E450" s="45">
        <v>1000</v>
      </c>
      <c r="F450" s="45">
        <v>1200</v>
      </c>
    </row>
    <row r="451" spans="1:6" x14ac:dyDescent="0.35">
      <c r="A451" s="26">
        <v>43746</v>
      </c>
      <c r="B451" s="36" t="s">
        <v>465</v>
      </c>
      <c r="C451" s="31" t="s">
        <v>164</v>
      </c>
      <c r="D451" s="39" t="s">
        <v>509</v>
      </c>
      <c r="E451" s="45">
        <v>1400</v>
      </c>
      <c r="F451" s="45">
        <v>1680</v>
      </c>
    </row>
    <row r="452" spans="1:6" x14ac:dyDescent="0.35">
      <c r="A452" s="26">
        <v>43749</v>
      </c>
      <c r="B452" s="26" t="s">
        <v>466</v>
      </c>
      <c r="C452" s="11" t="s">
        <v>84</v>
      </c>
      <c r="D452" s="39" t="s">
        <v>593</v>
      </c>
      <c r="E452" s="45"/>
      <c r="F452" s="45">
        <v>0</v>
      </c>
    </row>
    <row r="453" spans="1:6" x14ac:dyDescent="0.35">
      <c r="A453" s="26">
        <v>43752</v>
      </c>
      <c r="B453" s="36" t="s">
        <v>467</v>
      </c>
      <c r="C453" s="22" t="s">
        <v>229</v>
      </c>
      <c r="D453" s="13" t="s">
        <v>510</v>
      </c>
      <c r="E453" s="45">
        <v>500</v>
      </c>
      <c r="F453" s="45">
        <v>600</v>
      </c>
    </row>
    <row r="454" spans="1:6" x14ac:dyDescent="0.35">
      <c r="A454" s="26">
        <v>43753</v>
      </c>
      <c r="B454" s="36" t="s">
        <v>468</v>
      </c>
      <c r="C454" s="22" t="s">
        <v>164</v>
      </c>
      <c r="D454" s="39" t="s">
        <v>511</v>
      </c>
      <c r="E454" s="45">
        <v>4000</v>
      </c>
      <c r="F454" s="45">
        <v>4800</v>
      </c>
    </row>
    <row r="455" spans="1:6" x14ac:dyDescent="0.35">
      <c r="A455" s="26">
        <v>43755</v>
      </c>
      <c r="B455" s="36" t="s">
        <v>469</v>
      </c>
      <c r="C455" s="11" t="s">
        <v>84</v>
      </c>
      <c r="D455" s="13" t="s">
        <v>593</v>
      </c>
      <c r="E455" s="45"/>
      <c r="F455" s="45">
        <v>0</v>
      </c>
    </row>
    <row r="456" spans="1:6" x14ac:dyDescent="0.35">
      <c r="A456" s="26">
        <v>43759</v>
      </c>
      <c r="B456" s="36" t="s">
        <v>472</v>
      </c>
      <c r="C456" s="11" t="s">
        <v>84</v>
      </c>
      <c r="D456" s="13" t="s">
        <v>593</v>
      </c>
      <c r="E456" s="45"/>
      <c r="F456" s="45">
        <v>0</v>
      </c>
    </row>
    <row r="457" spans="1:6" x14ac:dyDescent="0.35">
      <c r="A457" s="26">
        <v>43762</v>
      </c>
      <c r="B457" s="36" t="s">
        <v>470</v>
      </c>
      <c r="C457" s="11" t="s">
        <v>593</v>
      </c>
      <c r="D457" s="13" t="s">
        <v>512</v>
      </c>
      <c r="E457" s="45"/>
      <c r="F457" s="45">
        <v>0</v>
      </c>
    </row>
    <row r="458" spans="1:6" x14ac:dyDescent="0.35">
      <c r="A458" s="26">
        <v>43766</v>
      </c>
      <c r="B458" s="36" t="s">
        <v>473</v>
      </c>
      <c r="C458" s="11" t="s">
        <v>84</v>
      </c>
      <c r="D458" s="13" t="s">
        <v>593</v>
      </c>
      <c r="E458" s="45"/>
      <c r="F458" s="45">
        <v>0</v>
      </c>
    </row>
    <row r="459" spans="1:6" x14ac:dyDescent="0.35">
      <c r="A459" s="26">
        <v>43773</v>
      </c>
      <c r="B459" s="36" t="s">
        <v>474</v>
      </c>
      <c r="C459" s="11" t="s">
        <v>84</v>
      </c>
      <c r="D459" s="13" t="s">
        <v>593</v>
      </c>
      <c r="E459" s="45"/>
      <c r="F459" s="45">
        <v>0</v>
      </c>
    </row>
    <row r="460" spans="1:6" x14ac:dyDescent="0.35">
      <c r="A460" s="26">
        <v>43775</v>
      </c>
      <c r="B460" s="36" t="s">
        <v>434</v>
      </c>
      <c r="C460" s="11" t="s">
        <v>84</v>
      </c>
      <c r="D460" s="13" t="s">
        <v>593</v>
      </c>
      <c r="E460" s="45"/>
      <c r="F460" s="45">
        <v>0</v>
      </c>
    </row>
    <row r="461" spans="1:6" x14ac:dyDescent="0.35">
      <c r="A461" s="26">
        <v>43776</v>
      </c>
      <c r="B461" s="36" t="s">
        <v>475</v>
      </c>
      <c r="C461" s="31" t="s">
        <v>164</v>
      </c>
      <c r="D461" s="39" t="s">
        <v>593</v>
      </c>
      <c r="E461" s="45">
        <v>6000</v>
      </c>
      <c r="F461" s="45">
        <v>7200</v>
      </c>
    </row>
    <row r="462" spans="1:6" x14ac:dyDescent="0.35">
      <c r="A462" s="26">
        <v>43779</v>
      </c>
      <c r="B462" s="36" t="s">
        <v>471</v>
      </c>
      <c r="C462" s="11" t="s">
        <v>84</v>
      </c>
      <c r="D462" s="13" t="s">
        <v>593</v>
      </c>
      <c r="E462" s="45"/>
      <c r="F462" s="45">
        <v>0</v>
      </c>
    </row>
    <row r="463" spans="1:6" x14ac:dyDescent="0.35">
      <c r="A463" s="26">
        <v>43783</v>
      </c>
      <c r="B463" s="36" t="s">
        <v>477</v>
      </c>
      <c r="C463" s="22" t="s">
        <v>164</v>
      </c>
      <c r="D463" s="39" t="s">
        <v>593</v>
      </c>
      <c r="E463" s="45">
        <v>2200</v>
      </c>
      <c r="F463" s="45">
        <v>2640</v>
      </c>
    </row>
    <row r="464" spans="1:6" x14ac:dyDescent="0.35">
      <c r="A464" s="26">
        <v>43783</v>
      </c>
      <c r="B464" s="36" t="s">
        <v>476</v>
      </c>
      <c r="C464" s="22" t="s">
        <v>229</v>
      </c>
      <c r="D464" s="36" t="s">
        <v>244</v>
      </c>
      <c r="E464" s="45">
        <v>1440</v>
      </c>
      <c r="F464" s="45">
        <v>1728</v>
      </c>
    </row>
    <row r="465" spans="1:6" x14ac:dyDescent="0.35">
      <c r="A465" s="26">
        <v>43785</v>
      </c>
      <c r="B465" s="36" t="s">
        <v>232</v>
      </c>
      <c r="C465" s="11" t="s">
        <v>594</v>
      </c>
      <c r="D465" s="36" t="s">
        <v>240</v>
      </c>
      <c r="E465" s="45">
        <v>300</v>
      </c>
      <c r="F465" s="45">
        <v>360</v>
      </c>
    </row>
    <row r="466" spans="1:6" x14ac:dyDescent="0.35">
      <c r="A466" s="26">
        <v>43785</v>
      </c>
      <c r="B466" s="36" t="s">
        <v>442</v>
      </c>
      <c r="C466" s="41" t="s">
        <v>84</v>
      </c>
      <c r="D466" s="39" t="s">
        <v>77</v>
      </c>
      <c r="E466" s="45"/>
      <c r="F466" s="45">
        <v>0</v>
      </c>
    </row>
    <row r="467" spans="1:6" x14ac:dyDescent="0.35">
      <c r="A467" s="26">
        <v>43787</v>
      </c>
      <c r="B467" s="36" t="s">
        <v>438</v>
      </c>
      <c r="C467" s="31" t="s">
        <v>229</v>
      </c>
      <c r="D467" s="13" t="s">
        <v>593</v>
      </c>
      <c r="E467" s="45">
        <v>500</v>
      </c>
      <c r="F467" s="45">
        <v>600</v>
      </c>
    </row>
    <row r="468" spans="1:6" x14ac:dyDescent="0.35">
      <c r="A468" s="26">
        <v>43787</v>
      </c>
      <c r="B468" s="36" t="s">
        <v>480</v>
      </c>
      <c r="C468" s="31" t="s">
        <v>229</v>
      </c>
      <c r="D468" s="13" t="s">
        <v>593</v>
      </c>
      <c r="E468" s="45">
        <v>500</v>
      </c>
      <c r="F468" s="45">
        <v>600</v>
      </c>
    </row>
    <row r="469" spans="1:6" x14ac:dyDescent="0.35">
      <c r="A469" s="26">
        <v>43787</v>
      </c>
      <c r="B469" s="36" t="s">
        <v>478</v>
      </c>
      <c r="C469" s="11" t="s">
        <v>84</v>
      </c>
      <c r="D469" s="13" t="s">
        <v>593</v>
      </c>
      <c r="E469" s="45"/>
      <c r="F469" s="45">
        <v>0</v>
      </c>
    </row>
    <row r="470" spans="1:6" x14ac:dyDescent="0.35">
      <c r="A470" s="26">
        <v>43788</v>
      </c>
      <c r="B470" s="36" t="s">
        <v>479</v>
      </c>
      <c r="C470" s="41" t="s">
        <v>84</v>
      </c>
      <c r="D470" s="39" t="s">
        <v>593</v>
      </c>
      <c r="E470" s="45"/>
      <c r="F470" s="45">
        <v>0</v>
      </c>
    </row>
    <row r="471" spans="1:6" x14ac:dyDescent="0.35">
      <c r="A471" s="26">
        <v>43789</v>
      </c>
      <c r="B471" s="36" t="s">
        <v>285</v>
      </c>
      <c r="C471" s="11" t="s">
        <v>594</v>
      </c>
      <c r="D471" s="39" t="s">
        <v>513</v>
      </c>
      <c r="E471" s="45">
        <v>1333</v>
      </c>
      <c r="F471" s="45">
        <v>1599.6</v>
      </c>
    </row>
    <row r="472" spans="1:6" x14ac:dyDescent="0.35">
      <c r="A472" s="26">
        <v>43789</v>
      </c>
      <c r="B472" s="36" t="s">
        <v>481</v>
      </c>
      <c r="C472" s="11" t="s">
        <v>84</v>
      </c>
      <c r="D472" s="13" t="s">
        <v>593</v>
      </c>
      <c r="E472" s="45"/>
      <c r="F472" s="45">
        <v>0</v>
      </c>
    </row>
    <row r="473" spans="1:6" x14ac:dyDescent="0.35">
      <c r="A473" s="26">
        <v>43791</v>
      </c>
      <c r="B473" s="36" t="s">
        <v>138</v>
      </c>
      <c r="C473" s="11" t="s">
        <v>84</v>
      </c>
      <c r="D473" s="13" t="s">
        <v>514</v>
      </c>
      <c r="E473" s="45"/>
      <c r="F473" s="45">
        <v>0</v>
      </c>
    </row>
    <row r="474" spans="1:6" x14ac:dyDescent="0.35">
      <c r="A474" s="26">
        <v>43794</v>
      </c>
      <c r="B474" s="36" t="s">
        <v>482</v>
      </c>
      <c r="C474" s="11" t="s">
        <v>84</v>
      </c>
      <c r="D474" s="39" t="s">
        <v>593</v>
      </c>
      <c r="E474" s="45"/>
      <c r="F474" s="45">
        <v>0</v>
      </c>
    </row>
    <row r="475" spans="1:6" x14ac:dyDescent="0.35">
      <c r="A475" s="26">
        <v>43796</v>
      </c>
      <c r="B475" s="36" t="s">
        <v>484</v>
      </c>
      <c r="C475" s="11" t="s">
        <v>594</v>
      </c>
      <c r="D475" s="19" t="s">
        <v>517</v>
      </c>
      <c r="E475" s="45">
        <v>4200</v>
      </c>
      <c r="F475" s="45">
        <v>5040</v>
      </c>
    </row>
    <row r="476" spans="1:6" x14ac:dyDescent="0.35">
      <c r="A476" s="26">
        <v>43803</v>
      </c>
      <c r="B476" s="36" t="s">
        <v>233</v>
      </c>
      <c r="C476" s="11" t="s">
        <v>84</v>
      </c>
      <c r="D476" s="39" t="s">
        <v>593</v>
      </c>
      <c r="E476" s="45"/>
      <c r="F476" s="45">
        <v>0</v>
      </c>
    </row>
    <row r="477" spans="1:6" x14ac:dyDescent="0.35">
      <c r="A477" s="8">
        <v>43812</v>
      </c>
      <c r="B477" s="13" t="s">
        <v>163</v>
      </c>
      <c r="C477" s="11" t="s">
        <v>84</v>
      </c>
      <c r="D477" s="39" t="s">
        <v>416</v>
      </c>
      <c r="E477" s="45"/>
      <c r="F477" s="45">
        <v>0</v>
      </c>
    </row>
    <row r="478" spans="1:6" x14ac:dyDescent="0.35">
      <c r="A478" s="26">
        <v>43813</v>
      </c>
      <c r="B478" s="36" t="s">
        <v>483</v>
      </c>
      <c r="C478" s="41" t="s">
        <v>84</v>
      </c>
      <c r="D478" s="39" t="s">
        <v>515</v>
      </c>
      <c r="E478" s="45"/>
      <c r="F478" s="45">
        <v>0</v>
      </c>
    </row>
    <row r="479" spans="1:6" x14ac:dyDescent="0.35">
      <c r="A479" s="26">
        <v>43817</v>
      </c>
      <c r="B479" s="36" t="s">
        <v>369</v>
      </c>
      <c r="C479" s="22" t="s">
        <v>164</v>
      </c>
      <c r="D479" s="39" t="s">
        <v>420</v>
      </c>
      <c r="E479" s="45">
        <v>4000</v>
      </c>
      <c r="F479" s="45">
        <v>4800</v>
      </c>
    </row>
    <row r="480" spans="1:6" x14ac:dyDescent="0.35">
      <c r="A480" s="26">
        <v>43818</v>
      </c>
      <c r="B480" s="36" t="s">
        <v>426</v>
      </c>
      <c r="C480" s="11" t="s">
        <v>84</v>
      </c>
      <c r="D480" s="13" t="s">
        <v>516</v>
      </c>
      <c r="E480" s="45"/>
      <c r="F480" s="45">
        <v>0</v>
      </c>
    </row>
    <row r="481" spans="1:6" x14ac:dyDescent="0.35">
      <c r="A481" s="26">
        <v>43837</v>
      </c>
      <c r="B481" s="2" t="s">
        <v>519</v>
      </c>
      <c r="C481" s="11" t="s">
        <v>593</v>
      </c>
      <c r="D481" s="13" t="s">
        <v>593</v>
      </c>
      <c r="E481" s="44" t="s">
        <v>593</v>
      </c>
      <c r="F481" s="44" t="s">
        <v>593</v>
      </c>
    </row>
    <row r="482" spans="1:6" x14ac:dyDescent="0.35">
      <c r="A482" s="26">
        <v>43840</v>
      </c>
      <c r="B482" s="2" t="s">
        <v>520</v>
      </c>
      <c r="C482" s="11" t="s">
        <v>593</v>
      </c>
      <c r="D482" s="13" t="s">
        <v>593</v>
      </c>
      <c r="E482" s="44" t="s">
        <v>593</v>
      </c>
      <c r="F482" s="44" t="s">
        <v>593</v>
      </c>
    </row>
    <row r="483" spans="1:6" x14ac:dyDescent="0.35">
      <c r="A483" s="26">
        <v>43850</v>
      </c>
      <c r="B483" s="2" t="s">
        <v>523</v>
      </c>
      <c r="C483" s="61" t="s">
        <v>164</v>
      </c>
      <c r="D483" s="39" t="s">
        <v>593</v>
      </c>
      <c r="E483" s="44" t="s">
        <v>593</v>
      </c>
      <c r="F483" s="44" t="s">
        <v>593</v>
      </c>
    </row>
    <row r="484" spans="1:6" x14ac:dyDescent="0.35">
      <c r="A484" s="26">
        <v>43852</v>
      </c>
      <c r="B484" s="2" t="s">
        <v>524</v>
      </c>
      <c r="C484" s="11" t="s">
        <v>84</v>
      </c>
      <c r="D484" s="17" t="s">
        <v>596</v>
      </c>
      <c r="E484" s="44" t="s">
        <v>593</v>
      </c>
      <c r="F484" s="44" t="s">
        <v>593</v>
      </c>
    </row>
    <row r="485" spans="1:6" x14ac:dyDescent="0.35">
      <c r="A485" s="26">
        <v>43854</v>
      </c>
      <c r="B485" s="2" t="s">
        <v>525</v>
      </c>
      <c r="C485" s="41" t="s">
        <v>84</v>
      </c>
      <c r="D485" s="13" t="s">
        <v>593</v>
      </c>
      <c r="E485" s="44" t="s">
        <v>593</v>
      </c>
      <c r="F485" s="44" t="s">
        <v>593</v>
      </c>
    </row>
    <row r="486" spans="1:6" x14ac:dyDescent="0.35">
      <c r="A486" s="26">
        <v>43854</v>
      </c>
      <c r="B486" s="2" t="s">
        <v>526</v>
      </c>
      <c r="C486" s="41" t="s">
        <v>594</v>
      </c>
      <c r="D486" s="13" t="s">
        <v>593</v>
      </c>
      <c r="E486" s="44" t="s">
        <v>593</v>
      </c>
      <c r="F486" s="44" t="s">
        <v>593</v>
      </c>
    </row>
    <row r="487" spans="1:6" x14ac:dyDescent="0.35">
      <c r="A487" s="26">
        <v>43857</v>
      </c>
      <c r="B487" s="2" t="s">
        <v>527</v>
      </c>
      <c r="C487" s="41" t="s">
        <v>84</v>
      </c>
      <c r="D487" s="13" t="s">
        <v>593</v>
      </c>
      <c r="E487" s="44" t="s">
        <v>593</v>
      </c>
      <c r="F487" s="44" t="s">
        <v>593</v>
      </c>
    </row>
    <row r="488" spans="1:6" x14ac:dyDescent="0.35">
      <c r="A488" s="26">
        <v>43857</v>
      </c>
      <c r="B488" s="2" t="s">
        <v>528</v>
      </c>
      <c r="C488" s="41" t="s">
        <v>84</v>
      </c>
      <c r="D488" s="13" t="s">
        <v>593</v>
      </c>
      <c r="E488" s="44" t="s">
        <v>593</v>
      </c>
      <c r="F488" s="44" t="s">
        <v>593</v>
      </c>
    </row>
    <row r="489" spans="1:6" x14ac:dyDescent="0.35">
      <c r="A489" s="26">
        <v>43858</v>
      </c>
      <c r="B489" s="2" t="s">
        <v>529</v>
      </c>
      <c r="C489" s="41" t="s">
        <v>84</v>
      </c>
      <c r="D489" s="17" t="s">
        <v>597</v>
      </c>
      <c r="E489" s="44" t="s">
        <v>593</v>
      </c>
      <c r="F489" s="44" t="s">
        <v>593</v>
      </c>
    </row>
    <row r="490" spans="1:6" x14ac:dyDescent="0.35">
      <c r="A490" s="26">
        <v>43859</v>
      </c>
      <c r="B490" s="2" t="s">
        <v>333</v>
      </c>
      <c r="C490" s="41" t="s">
        <v>84</v>
      </c>
      <c r="D490" s="16" t="s">
        <v>597</v>
      </c>
      <c r="E490" s="44" t="s">
        <v>593</v>
      </c>
      <c r="F490" s="44" t="s">
        <v>593</v>
      </c>
    </row>
    <row r="491" spans="1:6" x14ac:dyDescent="0.35">
      <c r="A491" s="26">
        <v>43860</v>
      </c>
      <c r="B491" s="2" t="s">
        <v>524</v>
      </c>
      <c r="C491" s="41" t="s">
        <v>84</v>
      </c>
      <c r="D491" s="39" t="s">
        <v>593</v>
      </c>
      <c r="E491" s="44" t="s">
        <v>593</v>
      </c>
      <c r="F491" s="44" t="s">
        <v>593</v>
      </c>
    </row>
    <row r="492" spans="1:6" x14ac:dyDescent="0.35">
      <c r="A492" s="26">
        <v>43860</v>
      </c>
      <c r="B492" s="2" t="s">
        <v>530</v>
      </c>
      <c r="C492" s="41" t="s">
        <v>84</v>
      </c>
      <c r="D492" s="17" t="s">
        <v>598</v>
      </c>
      <c r="E492" s="44" t="s">
        <v>593</v>
      </c>
      <c r="F492" s="44" t="s">
        <v>593</v>
      </c>
    </row>
    <row r="493" spans="1:6" x14ac:dyDescent="0.35">
      <c r="A493" s="26">
        <v>43861</v>
      </c>
      <c r="B493" s="2" t="s">
        <v>531</v>
      </c>
      <c r="C493" s="41" t="s">
        <v>84</v>
      </c>
      <c r="D493" s="13" t="s">
        <v>593</v>
      </c>
      <c r="E493" s="44" t="s">
        <v>593</v>
      </c>
      <c r="F493" s="44" t="s">
        <v>593</v>
      </c>
    </row>
    <row r="494" spans="1:6" x14ac:dyDescent="0.35">
      <c r="A494" s="26">
        <v>43865</v>
      </c>
      <c r="B494" s="2" t="s">
        <v>532</v>
      </c>
      <c r="C494" s="41" t="s">
        <v>84</v>
      </c>
      <c r="D494" s="13" t="s">
        <v>593</v>
      </c>
      <c r="E494" s="44" t="s">
        <v>593</v>
      </c>
      <c r="F494" s="44" t="s">
        <v>593</v>
      </c>
    </row>
    <row r="495" spans="1:6" x14ac:dyDescent="0.35">
      <c r="A495" s="26">
        <v>43866</v>
      </c>
      <c r="B495" s="2" t="s">
        <v>533</v>
      </c>
      <c r="C495" s="61" t="s">
        <v>164</v>
      </c>
      <c r="D495" s="13" t="s">
        <v>593</v>
      </c>
      <c r="E495" s="44" t="s">
        <v>593</v>
      </c>
      <c r="F495" s="44" t="s">
        <v>593</v>
      </c>
    </row>
    <row r="496" spans="1:6" x14ac:dyDescent="0.35">
      <c r="A496" s="26">
        <v>43867</v>
      </c>
      <c r="B496" s="2" t="s">
        <v>534</v>
      </c>
      <c r="C496" s="11" t="s">
        <v>593</v>
      </c>
      <c r="D496" s="13" t="s">
        <v>593</v>
      </c>
      <c r="E496" s="44" t="s">
        <v>593</v>
      </c>
      <c r="F496" s="44" t="s">
        <v>593</v>
      </c>
    </row>
    <row r="497" spans="1:6" x14ac:dyDescent="0.35">
      <c r="A497" s="26">
        <v>43867</v>
      </c>
      <c r="B497" s="2" t="s">
        <v>524</v>
      </c>
      <c r="C497" s="11" t="s">
        <v>84</v>
      </c>
      <c r="D497" s="13" t="s">
        <v>593</v>
      </c>
      <c r="E497" s="44" t="s">
        <v>593</v>
      </c>
      <c r="F497" s="44" t="s">
        <v>593</v>
      </c>
    </row>
    <row r="498" spans="1:6" x14ac:dyDescent="0.35">
      <c r="A498" s="26">
        <v>43867</v>
      </c>
      <c r="B498" s="2" t="s">
        <v>535</v>
      </c>
      <c r="C498" s="41" t="s">
        <v>84</v>
      </c>
      <c r="D498" s="13" t="s">
        <v>593</v>
      </c>
      <c r="E498" s="44" t="s">
        <v>593</v>
      </c>
      <c r="F498" s="44" t="s">
        <v>593</v>
      </c>
    </row>
    <row r="499" spans="1:6" x14ac:dyDescent="0.35">
      <c r="A499" s="26">
        <v>43867</v>
      </c>
      <c r="B499" s="2" t="s">
        <v>536</v>
      </c>
      <c r="C499" s="41" t="s">
        <v>594</v>
      </c>
      <c r="D499" s="17" t="s">
        <v>599</v>
      </c>
      <c r="E499" s="44" t="s">
        <v>593</v>
      </c>
      <c r="F499" s="44" t="s">
        <v>593</v>
      </c>
    </row>
    <row r="500" spans="1:6" x14ac:dyDescent="0.35">
      <c r="A500" s="26">
        <v>43868</v>
      </c>
      <c r="B500" s="2" t="s">
        <v>532</v>
      </c>
      <c r="C500" s="41" t="s">
        <v>84</v>
      </c>
      <c r="D500" s="13" t="s">
        <v>593</v>
      </c>
      <c r="E500" s="44" t="s">
        <v>593</v>
      </c>
      <c r="F500" s="44" t="s">
        <v>593</v>
      </c>
    </row>
    <row r="501" spans="1:6" x14ac:dyDescent="0.35">
      <c r="A501" s="26">
        <v>43872</v>
      </c>
      <c r="B501" s="2" t="s">
        <v>537</v>
      </c>
      <c r="C501" s="41" t="s">
        <v>594</v>
      </c>
      <c r="D501" s="13" t="s">
        <v>593</v>
      </c>
      <c r="E501" s="44" t="s">
        <v>593</v>
      </c>
      <c r="F501" s="44" t="s">
        <v>593</v>
      </c>
    </row>
    <row r="502" spans="1:6" x14ac:dyDescent="0.35">
      <c r="A502" s="26">
        <v>43874</v>
      </c>
      <c r="B502" s="2" t="s">
        <v>538</v>
      </c>
      <c r="C502" s="61" t="s">
        <v>229</v>
      </c>
      <c r="D502" s="17" t="s">
        <v>600</v>
      </c>
      <c r="E502" s="44" t="s">
        <v>593</v>
      </c>
      <c r="F502" s="44" t="s">
        <v>593</v>
      </c>
    </row>
    <row r="503" spans="1:6" x14ac:dyDescent="0.35">
      <c r="A503" s="26">
        <v>43874</v>
      </c>
      <c r="B503" s="2" t="s">
        <v>570</v>
      </c>
      <c r="C503" s="50" t="s">
        <v>84</v>
      </c>
      <c r="D503" s="17" t="s">
        <v>606</v>
      </c>
      <c r="E503" s="44" t="s">
        <v>593</v>
      </c>
      <c r="F503" s="44" t="s">
        <v>593</v>
      </c>
    </row>
    <row r="504" spans="1:6" x14ac:dyDescent="0.35">
      <c r="A504" s="26">
        <v>43875</v>
      </c>
      <c r="B504" s="2" t="s">
        <v>539</v>
      </c>
      <c r="C504" s="41" t="s">
        <v>594</v>
      </c>
      <c r="D504" s="13" t="s">
        <v>593</v>
      </c>
      <c r="E504" s="44" t="s">
        <v>593</v>
      </c>
      <c r="F504" s="44" t="s">
        <v>593</v>
      </c>
    </row>
    <row r="505" spans="1:6" x14ac:dyDescent="0.35">
      <c r="A505" s="27">
        <v>43878</v>
      </c>
      <c r="B505" s="2" t="s">
        <v>540</v>
      </c>
      <c r="C505" s="41" t="s">
        <v>84</v>
      </c>
      <c r="D505" s="13" t="s">
        <v>593</v>
      </c>
      <c r="E505" s="44" t="s">
        <v>593</v>
      </c>
      <c r="F505" s="44" t="s">
        <v>593</v>
      </c>
    </row>
    <row r="506" spans="1:6" x14ac:dyDescent="0.35">
      <c r="A506" s="27">
        <v>43878</v>
      </c>
      <c r="B506" s="2" t="s">
        <v>541</v>
      </c>
      <c r="C506" s="41" t="s">
        <v>84</v>
      </c>
      <c r="D506" s="13" t="s">
        <v>593</v>
      </c>
      <c r="E506" s="44" t="s">
        <v>593</v>
      </c>
      <c r="F506" s="44" t="s">
        <v>593</v>
      </c>
    </row>
    <row r="507" spans="1:6" x14ac:dyDescent="0.35">
      <c r="A507" s="27">
        <v>43880</v>
      </c>
      <c r="B507" s="2" t="s">
        <v>542</v>
      </c>
      <c r="C507" s="41" t="s">
        <v>84</v>
      </c>
      <c r="D507" s="17" t="s">
        <v>601</v>
      </c>
      <c r="E507" s="44" t="s">
        <v>593</v>
      </c>
      <c r="F507" s="44" t="s">
        <v>593</v>
      </c>
    </row>
    <row r="508" spans="1:6" x14ac:dyDescent="0.35">
      <c r="A508" s="26">
        <v>43881</v>
      </c>
      <c r="B508" s="2" t="s">
        <v>543</v>
      </c>
      <c r="C508" s="41" t="s">
        <v>84</v>
      </c>
      <c r="D508" s="13" t="s">
        <v>593</v>
      </c>
      <c r="E508" s="44" t="s">
        <v>593</v>
      </c>
      <c r="F508" s="44" t="s">
        <v>593</v>
      </c>
    </row>
    <row r="509" spans="1:6" x14ac:dyDescent="0.35">
      <c r="A509" s="26">
        <v>43881</v>
      </c>
      <c r="B509" s="2" t="s">
        <v>544</v>
      </c>
      <c r="C509" s="41" t="s">
        <v>84</v>
      </c>
      <c r="D509" s="13" t="s">
        <v>593</v>
      </c>
      <c r="E509" s="44" t="s">
        <v>593</v>
      </c>
      <c r="F509" s="44" t="s">
        <v>593</v>
      </c>
    </row>
    <row r="510" spans="1:6" x14ac:dyDescent="0.35">
      <c r="A510" s="26">
        <v>43881</v>
      </c>
      <c r="B510" s="2" t="s">
        <v>545</v>
      </c>
      <c r="C510" s="41" t="s">
        <v>84</v>
      </c>
      <c r="D510" s="13" t="s">
        <v>593</v>
      </c>
      <c r="E510" s="44" t="s">
        <v>593</v>
      </c>
      <c r="F510" s="44" t="s">
        <v>593</v>
      </c>
    </row>
    <row r="511" spans="1:6" x14ac:dyDescent="0.35">
      <c r="A511" s="26">
        <v>43885</v>
      </c>
      <c r="B511" s="2" t="s">
        <v>546</v>
      </c>
      <c r="C511" s="41" t="s">
        <v>84</v>
      </c>
      <c r="D511" s="13" t="s">
        <v>593</v>
      </c>
      <c r="E511" s="44" t="s">
        <v>593</v>
      </c>
      <c r="F511" s="44" t="s">
        <v>593</v>
      </c>
    </row>
    <row r="512" spans="1:6" x14ac:dyDescent="0.35">
      <c r="A512" s="26">
        <v>43885</v>
      </c>
      <c r="B512" s="2" t="s">
        <v>547</v>
      </c>
      <c r="C512" s="41" t="s">
        <v>84</v>
      </c>
      <c r="D512" s="13" t="s">
        <v>593</v>
      </c>
      <c r="E512" s="44" t="s">
        <v>593</v>
      </c>
      <c r="F512" s="44" t="s">
        <v>593</v>
      </c>
    </row>
    <row r="513" spans="1:6" x14ac:dyDescent="0.35">
      <c r="A513" s="26">
        <v>43885</v>
      </c>
      <c r="B513" s="2" t="s">
        <v>548</v>
      </c>
      <c r="C513" s="41" t="s">
        <v>84</v>
      </c>
      <c r="D513" s="13" t="s">
        <v>593</v>
      </c>
      <c r="E513" s="44" t="s">
        <v>593</v>
      </c>
      <c r="F513" s="44" t="s">
        <v>593</v>
      </c>
    </row>
    <row r="514" spans="1:6" x14ac:dyDescent="0.35">
      <c r="A514" s="26">
        <v>43886</v>
      </c>
      <c r="B514" s="2" t="s">
        <v>549</v>
      </c>
      <c r="C514" s="41" t="s">
        <v>84</v>
      </c>
      <c r="D514" s="16" t="s">
        <v>602</v>
      </c>
      <c r="E514" s="44" t="s">
        <v>593</v>
      </c>
      <c r="F514" s="44" t="s">
        <v>593</v>
      </c>
    </row>
    <row r="515" spans="1:6" x14ac:dyDescent="0.35">
      <c r="A515" s="26">
        <v>43886</v>
      </c>
      <c r="B515" s="2" t="s">
        <v>550</v>
      </c>
      <c r="C515" s="41" t="s">
        <v>84</v>
      </c>
      <c r="D515" s="16" t="s">
        <v>603</v>
      </c>
      <c r="E515" s="44" t="s">
        <v>593</v>
      </c>
      <c r="F515" s="44" t="s">
        <v>593</v>
      </c>
    </row>
    <row r="516" spans="1:6" x14ac:dyDescent="0.35">
      <c r="A516" s="26">
        <v>43887</v>
      </c>
      <c r="B516" s="2" t="s">
        <v>551</v>
      </c>
      <c r="C516" s="41" t="s">
        <v>84</v>
      </c>
      <c r="D516" s="13" t="s">
        <v>593</v>
      </c>
      <c r="E516" s="44" t="s">
        <v>593</v>
      </c>
      <c r="F516" s="44" t="s">
        <v>593</v>
      </c>
    </row>
    <row r="517" spans="1:6" x14ac:dyDescent="0.35">
      <c r="A517" s="26">
        <v>43888</v>
      </c>
      <c r="B517" s="2" t="s">
        <v>552</v>
      </c>
      <c r="C517" s="41" t="s">
        <v>84</v>
      </c>
      <c r="D517" s="16" t="s">
        <v>604</v>
      </c>
      <c r="E517" s="44" t="s">
        <v>593</v>
      </c>
      <c r="F517" s="44" t="s">
        <v>593</v>
      </c>
    </row>
    <row r="518" spans="1:6" x14ac:dyDescent="0.35">
      <c r="A518" s="26">
        <v>43893</v>
      </c>
      <c r="B518" s="2" t="s">
        <v>354</v>
      </c>
      <c r="C518" s="41" t="s">
        <v>84</v>
      </c>
      <c r="D518" s="13" t="s">
        <v>593</v>
      </c>
      <c r="E518" s="44" t="s">
        <v>593</v>
      </c>
      <c r="F518" s="44" t="s">
        <v>593</v>
      </c>
    </row>
    <row r="519" spans="1:6" x14ac:dyDescent="0.35">
      <c r="A519" s="26">
        <v>43895</v>
      </c>
      <c r="B519" s="2" t="s">
        <v>553</v>
      </c>
      <c r="C519" s="41" t="s">
        <v>84</v>
      </c>
      <c r="D519" s="13" t="s">
        <v>593</v>
      </c>
      <c r="E519" s="44" t="s">
        <v>593</v>
      </c>
      <c r="F519" s="44" t="s">
        <v>593</v>
      </c>
    </row>
    <row r="520" spans="1:6" x14ac:dyDescent="0.35">
      <c r="A520" s="27">
        <v>43970</v>
      </c>
      <c r="B520" s="2" t="s">
        <v>294</v>
      </c>
      <c r="C520" s="41" t="s">
        <v>84</v>
      </c>
      <c r="D520" s="2" t="s">
        <v>664</v>
      </c>
      <c r="E520" s="45"/>
      <c r="F520" s="45">
        <v>0</v>
      </c>
    </row>
    <row r="521" spans="1:6" x14ac:dyDescent="0.35">
      <c r="A521" s="27">
        <v>44089</v>
      </c>
      <c r="B521" s="2" t="s">
        <v>554</v>
      </c>
      <c r="C521" s="41" t="s">
        <v>84</v>
      </c>
      <c r="D521" s="13" t="s">
        <v>593</v>
      </c>
      <c r="E521" s="44" t="s">
        <v>593</v>
      </c>
      <c r="F521" s="44" t="s">
        <v>593</v>
      </c>
    </row>
    <row r="522" spans="1:6" x14ac:dyDescent="0.35">
      <c r="A522" s="27">
        <v>44089</v>
      </c>
      <c r="B522" s="2" t="s">
        <v>555</v>
      </c>
      <c r="C522" s="41" t="s">
        <v>84</v>
      </c>
      <c r="D522" s="13" t="s">
        <v>593</v>
      </c>
      <c r="E522" s="44" t="s">
        <v>593</v>
      </c>
      <c r="F522" s="44" t="s">
        <v>593</v>
      </c>
    </row>
    <row r="523" spans="1:6" x14ac:dyDescent="0.35">
      <c r="A523" s="27">
        <v>44091</v>
      </c>
      <c r="B523" s="2" t="s">
        <v>556</v>
      </c>
      <c r="C523" s="41" t="s">
        <v>84</v>
      </c>
      <c r="D523" s="13" t="s">
        <v>593</v>
      </c>
      <c r="E523" s="44" t="s">
        <v>593</v>
      </c>
      <c r="F523" s="44" t="s">
        <v>593</v>
      </c>
    </row>
    <row r="524" spans="1:6" x14ac:dyDescent="0.35">
      <c r="A524" s="27">
        <v>44095</v>
      </c>
      <c r="B524" s="2" t="s">
        <v>557</v>
      </c>
      <c r="C524" s="41" t="s">
        <v>84</v>
      </c>
      <c r="D524" s="13" t="s">
        <v>593</v>
      </c>
      <c r="E524" s="44" t="s">
        <v>593</v>
      </c>
      <c r="F524" s="44" t="s">
        <v>593</v>
      </c>
    </row>
    <row r="525" spans="1:6" x14ac:dyDescent="0.35">
      <c r="A525" s="27">
        <v>44096</v>
      </c>
      <c r="B525" s="2" t="s">
        <v>558</v>
      </c>
      <c r="C525" s="41" t="s">
        <v>84</v>
      </c>
      <c r="D525" s="13" t="s">
        <v>593</v>
      </c>
      <c r="E525" s="44" t="s">
        <v>593</v>
      </c>
      <c r="F525" s="44" t="s">
        <v>593</v>
      </c>
    </row>
    <row r="526" spans="1:6" x14ac:dyDescent="0.35">
      <c r="A526" s="27">
        <v>44096</v>
      </c>
      <c r="B526" s="2" t="s">
        <v>559</v>
      </c>
      <c r="C526" s="41" t="s">
        <v>84</v>
      </c>
      <c r="D526" s="13" t="s">
        <v>593</v>
      </c>
      <c r="E526" s="44" t="s">
        <v>593</v>
      </c>
      <c r="F526" s="44" t="s">
        <v>593</v>
      </c>
    </row>
    <row r="527" spans="1:6" x14ac:dyDescent="0.35">
      <c r="A527" s="27">
        <v>44096</v>
      </c>
      <c r="B527" s="2" t="s">
        <v>560</v>
      </c>
      <c r="C527" s="41" t="s">
        <v>84</v>
      </c>
      <c r="D527" s="13" t="s">
        <v>593</v>
      </c>
      <c r="E527" s="44" t="s">
        <v>593</v>
      </c>
      <c r="F527" s="44" t="s">
        <v>593</v>
      </c>
    </row>
    <row r="528" spans="1:6" x14ac:dyDescent="0.35">
      <c r="A528" s="27">
        <v>44097</v>
      </c>
      <c r="B528" s="2" t="s">
        <v>561</v>
      </c>
      <c r="C528" s="41" t="s">
        <v>84</v>
      </c>
      <c r="D528" s="13" t="s">
        <v>593</v>
      </c>
      <c r="E528" s="44" t="s">
        <v>593</v>
      </c>
      <c r="F528" s="44" t="s">
        <v>593</v>
      </c>
    </row>
    <row r="529" spans="1:6" x14ac:dyDescent="0.35">
      <c r="A529" s="27">
        <v>44102</v>
      </c>
      <c r="B529" s="2" t="s">
        <v>562</v>
      </c>
      <c r="C529" s="41" t="s">
        <v>84</v>
      </c>
      <c r="D529" s="13" t="s">
        <v>593</v>
      </c>
      <c r="E529" s="44" t="s">
        <v>593</v>
      </c>
      <c r="F529" s="44" t="s">
        <v>593</v>
      </c>
    </row>
    <row r="530" spans="1:6" x14ac:dyDescent="0.35">
      <c r="A530" s="27">
        <v>44103</v>
      </c>
      <c r="B530" s="2" t="s">
        <v>563</v>
      </c>
      <c r="C530" s="41" t="s">
        <v>84</v>
      </c>
      <c r="D530" s="13" t="s">
        <v>593</v>
      </c>
      <c r="E530" s="44" t="s">
        <v>593</v>
      </c>
      <c r="F530" s="44" t="s">
        <v>593</v>
      </c>
    </row>
    <row r="531" spans="1:6" x14ac:dyDescent="0.35">
      <c r="A531" s="27">
        <v>44103</v>
      </c>
      <c r="B531" s="2" t="s">
        <v>627</v>
      </c>
      <c r="C531" s="41" t="s">
        <v>84</v>
      </c>
      <c r="D531" s="2" t="s">
        <v>666</v>
      </c>
      <c r="E531" s="45"/>
      <c r="F531" s="45">
        <v>0</v>
      </c>
    </row>
    <row r="532" spans="1:6" x14ac:dyDescent="0.35">
      <c r="A532" s="27">
        <v>44104</v>
      </c>
      <c r="B532" s="2" t="s">
        <v>564</v>
      </c>
      <c r="C532" s="41" t="s">
        <v>84</v>
      </c>
      <c r="D532" s="39" t="s">
        <v>593</v>
      </c>
      <c r="E532" s="44" t="s">
        <v>593</v>
      </c>
      <c r="F532" s="44" t="s">
        <v>593</v>
      </c>
    </row>
    <row r="533" spans="1:6" x14ac:dyDescent="0.35">
      <c r="A533" s="27">
        <v>44104</v>
      </c>
      <c r="B533" s="2" t="s">
        <v>565</v>
      </c>
      <c r="C533" s="41" t="s">
        <v>84</v>
      </c>
      <c r="D533" s="13" t="s">
        <v>593</v>
      </c>
      <c r="E533" s="44" t="s">
        <v>593</v>
      </c>
      <c r="F533" s="44" t="s">
        <v>593</v>
      </c>
    </row>
    <row r="534" spans="1:6" x14ac:dyDescent="0.35">
      <c r="A534" s="27">
        <v>44106</v>
      </c>
      <c r="B534" s="2" t="s">
        <v>333</v>
      </c>
      <c r="C534" s="41" t="s">
        <v>84</v>
      </c>
      <c r="D534" s="17" t="s">
        <v>605</v>
      </c>
      <c r="E534" s="44" t="s">
        <v>593</v>
      </c>
      <c r="F534" s="44" t="s">
        <v>593</v>
      </c>
    </row>
    <row r="535" spans="1:6" x14ac:dyDescent="0.35">
      <c r="A535" s="27">
        <v>44106</v>
      </c>
      <c r="B535" s="2" t="s">
        <v>566</v>
      </c>
      <c r="C535" s="41" t="s">
        <v>84</v>
      </c>
      <c r="D535" s="13" t="s">
        <v>593</v>
      </c>
      <c r="E535" s="44" t="s">
        <v>593</v>
      </c>
      <c r="F535" s="44" t="s">
        <v>593</v>
      </c>
    </row>
    <row r="536" spans="1:6" x14ac:dyDescent="0.35">
      <c r="A536" s="27">
        <v>44109</v>
      </c>
      <c r="B536" s="2" t="s">
        <v>567</v>
      </c>
      <c r="C536" s="41" t="s">
        <v>84</v>
      </c>
      <c r="D536" s="13" t="s">
        <v>593</v>
      </c>
      <c r="E536" s="44" t="s">
        <v>593</v>
      </c>
      <c r="F536" s="44" t="s">
        <v>593</v>
      </c>
    </row>
    <row r="537" spans="1:6" x14ac:dyDescent="0.35">
      <c r="A537" s="27">
        <v>44109</v>
      </c>
      <c r="B537" s="2" t="s">
        <v>557</v>
      </c>
      <c r="C537" s="41" t="s">
        <v>84</v>
      </c>
      <c r="D537" s="13" t="s">
        <v>593</v>
      </c>
      <c r="E537" s="44" t="s">
        <v>593</v>
      </c>
      <c r="F537" s="44" t="s">
        <v>593</v>
      </c>
    </row>
    <row r="538" spans="1:6" x14ac:dyDescent="0.35">
      <c r="A538" s="27">
        <v>44112</v>
      </c>
      <c r="B538" s="2" t="s">
        <v>568</v>
      </c>
      <c r="C538" s="41" t="s">
        <v>84</v>
      </c>
      <c r="D538" s="13" t="s">
        <v>593</v>
      </c>
      <c r="E538" s="44" t="s">
        <v>593</v>
      </c>
      <c r="F538" s="44" t="s">
        <v>593</v>
      </c>
    </row>
    <row r="539" spans="1:6" x14ac:dyDescent="0.35">
      <c r="A539" s="27">
        <v>44112</v>
      </c>
      <c r="B539" s="2" t="s">
        <v>163</v>
      </c>
      <c r="C539" s="41" t="s">
        <v>84</v>
      </c>
      <c r="D539" s="13" t="s">
        <v>593</v>
      </c>
      <c r="E539" s="44" t="s">
        <v>593</v>
      </c>
      <c r="F539" s="44" t="s">
        <v>593</v>
      </c>
    </row>
    <row r="540" spans="1:6" x14ac:dyDescent="0.35">
      <c r="A540" s="27">
        <v>44116</v>
      </c>
      <c r="B540" s="2" t="s">
        <v>569</v>
      </c>
      <c r="C540" s="41" t="s">
        <v>84</v>
      </c>
      <c r="D540" s="13" t="s">
        <v>593</v>
      </c>
      <c r="E540" s="44" t="s">
        <v>593</v>
      </c>
      <c r="F540" s="44" t="s">
        <v>593</v>
      </c>
    </row>
    <row r="541" spans="1:6" x14ac:dyDescent="0.35">
      <c r="A541" s="27">
        <v>44116</v>
      </c>
      <c r="B541" s="2" t="s">
        <v>584</v>
      </c>
      <c r="C541" s="41" t="s">
        <v>84</v>
      </c>
      <c r="D541" s="13" t="s">
        <v>593</v>
      </c>
      <c r="E541" s="44" t="s">
        <v>593</v>
      </c>
      <c r="F541" s="44" t="s">
        <v>593</v>
      </c>
    </row>
    <row r="542" spans="1:6" x14ac:dyDescent="0.35">
      <c r="A542" s="27">
        <v>44117</v>
      </c>
      <c r="B542" s="2" t="s">
        <v>571</v>
      </c>
      <c r="C542" s="11" t="s">
        <v>84</v>
      </c>
      <c r="D542" s="13" t="s">
        <v>593</v>
      </c>
      <c r="E542" s="44" t="s">
        <v>593</v>
      </c>
      <c r="F542" s="44" t="s">
        <v>593</v>
      </c>
    </row>
    <row r="543" spans="1:6" x14ac:dyDescent="0.35">
      <c r="A543" s="27">
        <v>44117</v>
      </c>
      <c r="B543" s="2" t="s">
        <v>555</v>
      </c>
      <c r="C543" s="41" t="s">
        <v>84</v>
      </c>
      <c r="D543" s="17" t="s">
        <v>606</v>
      </c>
      <c r="E543" s="44" t="s">
        <v>593</v>
      </c>
      <c r="F543" s="44" t="s">
        <v>593</v>
      </c>
    </row>
    <row r="544" spans="1:6" x14ac:dyDescent="0.35">
      <c r="A544" s="27">
        <v>44118</v>
      </c>
      <c r="B544" s="2" t="s">
        <v>572</v>
      </c>
      <c r="C544" s="11" t="s">
        <v>593</v>
      </c>
      <c r="D544" s="13" t="s">
        <v>593</v>
      </c>
      <c r="E544" s="44" t="s">
        <v>593</v>
      </c>
      <c r="F544" s="44" t="s">
        <v>593</v>
      </c>
    </row>
    <row r="545" spans="1:6" x14ac:dyDescent="0.35">
      <c r="A545" s="27">
        <v>44118</v>
      </c>
      <c r="B545" s="2" t="s">
        <v>573</v>
      </c>
      <c r="C545" s="11" t="s">
        <v>84</v>
      </c>
      <c r="D545" s="17" t="s">
        <v>606</v>
      </c>
      <c r="E545" s="44" t="s">
        <v>593</v>
      </c>
      <c r="F545" s="44" t="s">
        <v>593</v>
      </c>
    </row>
    <row r="546" spans="1:6" x14ac:dyDescent="0.35">
      <c r="A546" s="27">
        <v>44120</v>
      </c>
      <c r="B546" s="2" t="s">
        <v>574</v>
      </c>
      <c r="C546" s="41" t="s">
        <v>593</v>
      </c>
      <c r="D546" s="13" t="s">
        <v>593</v>
      </c>
      <c r="E546" s="44" t="s">
        <v>593</v>
      </c>
      <c r="F546" s="44" t="s">
        <v>593</v>
      </c>
    </row>
    <row r="547" spans="1:6" x14ac:dyDescent="0.35">
      <c r="A547" s="27">
        <v>44120</v>
      </c>
      <c r="B547" s="2" t="s">
        <v>575</v>
      </c>
      <c r="C547" s="41" t="s">
        <v>593</v>
      </c>
      <c r="D547" s="17" t="s">
        <v>606</v>
      </c>
      <c r="E547" s="44" t="s">
        <v>593</v>
      </c>
      <c r="F547" s="44" t="s">
        <v>593</v>
      </c>
    </row>
    <row r="548" spans="1:6" x14ac:dyDescent="0.35">
      <c r="A548" s="27">
        <v>44123</v>
      </c>
      <c r="B548" s="2" t="s">
        <v>576</v>
      </c>
      <c r="C548" s="41" t="s">
        <v>84</v>
      </c>
      <c r="D548" s="17" t="s">
        <v>606</v>
      </c>
      <c r="E548" s="44" t="s">
        <v>593</v>
      </c>
      <c r="F548" s="44" t="s">
        <v>593</v>
      </c>
    </row>
    <row r="549" spans="1:6" x14ac:dyDescent="0.35">
      <c r="A549" s="27">
        <v>44123</v>
      </c>
      <c r="B549" s="2" t="s">
        <v>557</v>
      </c>
      <c r="C549" s="41" t="s">
        <v>84</v>
      </c>
      <c r="D549" s="13" t="s">
        <v>593</v>
      </c>
      <c r="E549" s="44" t="s">
        <v>593</v>
      </c>
      <c r="F549" s="44" t="s">
        <v>593</v>
      </c>
    </row>
    <row r="550" spans="1:6" x14ac:dyDescent="0.35">
      <c r="A550" s="27">
        <v>44124</v>
      </c>
      <c r="B550" s="2" t="s">
        <v>577</v>
      </c>
      <c r="C550" s="41" t="s">
        <v>84</v>
      </c>
      <c r="D550" s="17" t="s">
        <v>606</v>
      </c>
      <c r="E550" s="44" t="s">
        <v>593</v>
      </c>
      <c r="F550" s="44" t="s">
        <v>593</v>
      </c>
    </row>
    <row r="551" spans="1:6" x14ac:dyDescent="0.35">
      <c r="A551" s="27">
        <v>44125</v>
      </c>
      <c r="B551" s="2" t="s">
        <v>578</v>
      </c>
      <c r="C551" s="41" t="s">
        <v>84</v>
      </c>
      <c r="D551" s="13" t="s">
        <v>593</v>
      </c>
      <c r="E551" s="44" t="s">
        <v>593</v>
      </c>
      <c r="F551" s="44" t="s">
        <v>593</v>
      </c>
    </row>
    <row r="552" spans="1:6" x14ac:dyDescent="0.35">
      <c r="A552" s="27">
        <v>44130</v>
      </c>
      <c r="B552" s="2" t="s">
        <v>163</v>
      </c>
      <c r="C552" s="41" t="s">
        <v>84</v>
      </c>
      <c r="D552" s="13" t="s">
        <v>593</v>
      </c>
      <c r="E552" s="44" t="s">
        <v>593</v>
      </c>
      <c r="F552" s="44" t="s">
        <v>593</v>
      </c>
    </row>
    <row r="553" spans="1:6" x14ac:dyDescent="0.35">
      <c r="A553" s="27">
        <v>44132</v>
      </c>
      <c r="B553" s="2" t="s">
        <v>579</v>
      </c>
      <c r="C553" s="41" t="s">
        <v>84</v>
      </c>
      <c r="D553" s="13" t="s">
        <v>593</v>
      </c>
      <c r="E553" s="44" t="s">
        <v>593</v>
      </c>
      <c r="F553" s="44" t="s">
        <v>593</v>
      </c>
    </row>
    <row r="554" spans="1:6" x14ac:dyDescent="0.35">
      <c r="A554" s="27">
        <v>44132</v>
      </c>
      <c r="B554" s="2" t="s">
        <v>580</v>
      </c>
      <c r="C554" s="41" t="s">
        <v>84</v>
      </c>
      <c r="D554" s="13" t="s">
        <v>593</v>
      </c>
      <c r="E554" s="44" t="s">
        <v>593</v>
      </c>
      <c r="F554" s="44" t="s">
        <v>593</v>
      </c>
    </row>
    <row r="555" spans="1:6" x14ac:dyDescent="0.35">
      <c r="A555" s="27">
        <v>44137</v>
      </c>
      <c r="B555" s="2" t="s">
        <v>557</v>
      </c>
      <c r="C555" s="11" t="s">
        <v>84</v>
      </c>
      <c r="D555" s="13" t="s">
        <v>593</v>
      </c>
      <c r="E555" s="44" t="s">
        <v>593</v>
      </c>
      <c r="F555" s="44" t="s">
        <v>593</v>
      </c>
    </row>
    <row r="556" spans="1:6" x14ac:dyDescent="0.35">
      <c r="A556" s="27">
        <v>44144</v>
      </c>
      <c r="B556" s="2" t="s">
        <v>581</v>
      </c>
      <c r="C556" s="41" t="s">
        <v>84</v>
      </c>
      <c r="D556" s="13" t="s">
        <v>593</v>
      </c>
      <c r="E556" s="44" t="s">
        <v>593</v>
      </c>
      <c r="F556" s="44" t="s">
        <v>593</v>
      </c>
    </row>
    <row r="557" spans="1:6" x14ac:dyDescent="0.35">
      <c r="A557" s="27">
        <v>44145</v>
      </c>
      <c r="B557" s="2" t="s">
        <v>582</v>
      </c>
      <c r="C557" s="41" t="s">
        <v>593</v>
      </c>
      <c r="D557" s="13" t="s">
        <v>593</v>
      </c>
      <c r="E557" s="44" t="s">
        <v>593</v>
      </c>
      <c r="F557" s="44" t="s">
        <v>593</v>
      </c>
    </row>
    <row r="558" spans="1:6" x14ac:dyDescent="0.35">
      <c r="A558" s="27">
        <v>44145</v>
      </c>
      <c r="B558" s="2" t="s">
        <v>583</v>
      </c>
      <c r="C558" s="41" t="s">
        <v>84</v>
      </c>
      <c r="D558" s="13" t="s">
        <v>593</v>
      </c>
      <c r="E558" s="44" t="s">
        <v>593</v>
      </c>
      <c r="F558" s="44" t="s">
        <v>593</v>
      </c>
    </row>
    <row r="559" spans="1:6" x14ac:dyDescent="0.35">
      <c r="A559" s="27">
        <v>44151</v>
      </c>
      <c r="B559" s="2" t="s">
        <v>557</v>
      </c>
      <c r="C559" s="41" t="s">
        <v>84</v>
      </c>
      <c r="D559" s="13" t="s">
        <v>593</v>
      </c>
      <c r="E559" s="44" t="s">
        <v>593</v>
      </c>
      <c r="F559" s="44" t="s">
        <v>593</v>
      </c>
    </row>
    <row r="560" spans="1:6" x14ac:dyDescent="0.35">
      <c r="A560" s="27">
        <v>44152</v>
      </c>
      <c r="B560" s="2" t="s">
        <v>585</v>
      </c>
      <c r="C560" s="41" t="s">
        <v>84</v>
      </c>
      <c r="D560" s="13" t="s">
        <v>593</v>
      </c>
      <c r="E560" s="44" t="s">
        <v>593</v>
      </c>
      <c r="F560" s="44" t="s">
        <v>593</v>
      </c>
    </row>
    <row r="561" spans="1:6" x14ac:dyDescent="0.35">
      <c r="A561" s="27">
        <v>44165</v>
      </c>
      <c r="B561" s="2" t="s">
        <v>586</v>
      </c>
      <c r="C561" s="41" t="s">
        <v>84</v>
      </c>
      <c r="D561" s="13" t="s">
        <v>593</v>
      </c>
      <c r="E561" s="44" t="s">
        <v>593</v>
      </c>
      <c r="F561" s="44" t="s">
        <v>593</v>
      </c>
    </row>
    <row r="562" spans="1:6" x14ac:dyDescent="0.35">
      <c r="A562" s="27">
        <v>44165</v>
      </c>
      <c r="B562" s="2" t="s">
        <v>557</v>
      </c>
      <c r="C562" s="41" t="s">
        <v>84</v>
      </c>
      <c r="D562" s="13" t="s">
        <v>593</v>
      </c>
      <c r="E562" s="44" t="s">
        <v>593</v>
      </c>
      <c r="F562" s="44" t="s">
        <v>593</v>
      </c>
    </row>
    <row r="563" spans="1:6" x14ac:dyDescent="0.35">
      <c r="A563" s="27">
        <v>44180</v>
      </c>
      <c r="B563" s="2" t="s">
        <v>587</v>
      </c>
      <c r="C563" s="41" t="s">
        <v>84</v>
      </c>
      <c r="D563" s="13" t="s">
        <v>593</v>
      </c>
      <c r="E563" s="44" t="s">
        <v>593</v>
      </c>
      <c r="F563" s="44" t="s">
        <v>593</v>
      </c>
    </row>
    <row r="564" spans="1:6" x14ac:dyDescent="0.35">
      <c r="A564" s="27">
        <v>44180</v>
      </c>
      <c r="B564" s="2" t="s">
        <v>588</v>
      </c>
      <c r="C564" s="41" t="s">
        <v>84</v>
      </c>
      <c r="D564" s="13" t="s">
        <v>593</v>
      </c>
      <c r="E564" s="44" t="s">
        <v>593</v>
      </c>
      <c r="F564" s="44" t="s">
        <v>593</v>
      </c>
    </row>
    <row r="565" spans="1:6" x14ac:dyDescent="0.35">
      <c r="A565" s="27">
        <v>44181</v>
      </c>
      <c r="B565" s="2" t="s">
        <v>589</v>
      </c>
      <c r="C565" s="41" t="s">
        <v>84</v>
      </c>
      <c r="D565" s="13" t="s">
        <v>593</v>
      </c>
      <c r="E565" s="44" t="s">
        <v>593</v>
      </c>
      <c r="F565" s="44" t="s">
        <v>593</v>
      </c>
    </row>
    <row r="566" spans="1:6" x14ac:dyDescent="0.35">
      <c r="A566" s="27">
        <v>44181</v>
      </c>
      <c r="B566" s="2" t="s">
        <v>590</v>
      </c>
      <c r="C566" s="41" t="s">
        <v>84</v>
      </c>
      <c r="D566" s="13" t="s">
        <v>593</v>
      </c>
      <c r="E566" s="44" t="s">
        <v>593</v>
      </c>
      <c r="F566" s="44" t="s">
        <v>593</v>
      </c>
    </row>
    <row r="567" spans="1:6" x14ac:dyDescent="0.35">
      <c r="A567" s="27">
        <v>44182</v>
      </c>
      <c r="B567" s="2" t="s">
        <v>544</v>
      </c>
      <c r="C567" s="41" t="s">
        <v>84</v>
      </c>
      <c r="D567" s="13" t="s">
        <v>593</v>
      </c>
      <c r="E567" s="44" t="s">
        <v>593</v>
      </c>
      <c r="F567" s="44" t="s">
        <v>593</v>
      </c>
    </row>
    <row r="568" spans="1:6" x14ac:dyDescent="0.35">
      <c r="A568" s="26">
        <v>44182</v>
      </c>
      <c r="B568" s="2" t="s">
        <v>591</v>
      </c>
      <c r="C568" s="41" t="s">
        <v>84</v>
      </c>
      <c r="D568" s="13" t="s">
        <v>593</v>
      </c>
      <c r="E568" s="44" t="s">
        <v>593</v>
      </c>
      <c r="F568" s="44" t="s">
        <v>593</v>
      </c>
    </row>
    <row r="569" spans="1:6" x14ac:dyDescent="0.35">
      <c r="A569" s="26">
        <v>44186</v>
      </c>
      <c r="B569" s="2" t="s">
        <v>592</v>
      </c>
      <c r="C569" s="11" t="s">
        <v>84</v>
      </c>
      <c r="D569" s="39" t="s">
        <v>593</v>
      </c>
      <c r="E569" s="44" t="s">
        <v>593</v>
      </c>
      <c r="F569" s="44" t="s">
        <v>593</v>
      </c>
    </row>
    <row r="570" spans="1:6" x14ac:dyDescent="0.35">
      <c r="A570" s="26">
        <v>44204</v>
      </c>
      <c r="B570" s="2" t="s">
        <v>614</v>
      </c>
      <c r="C570" s="11" t="s">
        <v>84</v>
      </c>
      <c r="D570" s="13" t="s">
        <v>593</v>
      </c>
      <c r="E570" s="45"/>
      <c r="F570" s="45">
        <v>0</v>
      </c>
    </row>
    <row r="571" spans="1:6" x14ac:dyDescent="0.35">
      <c r="A571" s="26">
        <v>44209</v>
      </c>
      <c r="B571" s="2" t="s">
        <v>521</v>
      </c>
      <c r="C571" s="11" t="s">
        <v>593</v>
      </c>
      <c r="D571" s="13" t="s">
        <v>593</v>
      </c>
      <c r="E571" s="44" t="s">
        <v>593</v>
      </c>
      <c r="F571" s="44" t="s">
        <v>593</v>
      </c>
    </row>
    <row r="572" spans="1:6" x14ac:dyDescent="0.35">
      <c r="A572" s="26">
        <v>44213</v>
      </c>
      <c r="B572" s="2" t="s">
        <v>522</v>
      </c>
      <c r="C572" s="11" t="s">
        <v>84</v>
      </c>
      <c r="D572" s="17" t="s">
        <v>595</v>
      </c>
      <c r="E572" s="44" t="s">
        <v>593</v>
      </c>
      <c r="F572" s="44" t="s">
        <v>593</v>
      </c>
    </row>
    <row r="573" spans="1:6" x14ac:dyDescent="0.35">
      <c r="A573" s="26">
        <v>44219</v>
      </c>
      <c r="B573" s="2" t="s">
        <v>607</v>
      </c>
      <c r="C573" s="11" t="s">
        <v>84</v>
      </c>
      <c r="D573" s="2" t="s">
        <v>652</v>
      </c>
      <c r="E573" s="45"/>
      <c r="F573" s="45">
        <v>0</v>
      </c>
    </row>
    <row r="574" spans="1:6" x14ac:dyDescent="0.35">
      <c r="A574" s="26">
        <v>44220</v>
      </c>
      <c r="B574" s="2" t="s">
        <v>674</v>
      </c>
      <c r="C574" s="11" t="s">
        <v>594</v>
      </c>
      <c r="D574" s="16" t="s">
        <v>763</v>
      </c>
      <c r="E574" s="45">
        <v>1600</v>
      </c>
      <c r="F574" s="44" t="s">
        <v>593</v>
      </c>
    </row>
    <row r="575" spans="1:6" x14ac:dyDescent="0.35">
      <c r="A575" s="26">
        <v>44225</v>
      </c>
      <c r="B575" s="2" t="s">
        <v>608</v>
      </c>
      <c r="C575" s="11" t="s">
        <v>84</v>
      </c>
      <c r="D575" s="15" t="s">
        <v>653</v>
      </c>
      <c r="E575" s="45"/>
      <c r="F575" s="45">
        <v>0</v>
      </c>
    </row>
    <row r="576" spans="1:6" x14ac:dyDescent="0.35">
      <c r="A576" s="26">
        <v>44229</v>
      </c>
      <c r="B576" s="2" t="s">
        <v>609</v>
      </c>
      <c r="C576" s="11" t="s">
        <v>84</v>
      </c>
      <c r="D576" s="2" t="s">
        <v>654</v>
      </c>
      <c r="E576" s="45"/>
      <c r="F576" s="45">
        <v>0</v>
      </c>
    </row>
    <row r="577" spans="1:6" x14ac:dyDescent="0.35">
      <c r="A577" s="26">
        <v>44245</v>
      </c>
      <c r="B577" s="2" t="s">
        <v>610</v>
      </c>
      <c r="C577" s="11" t="s">
        <v>84</v>
      </c>
      <c r="D577" s="2" t="s">
        <v>655</v>
      </c>
      <c r="E577" s="45"/>
      <c r="F577" s="45">
        <v>0</v>
      </c>
    </row>
    <row r="578" spans="1:6" x14ac:dyDescent="0.35">
      <c r="A578" s="26">
        <v>44254</v>
      </c>
      <c r="B578" s="2" t="s">
        <v>611</v>
      </c>
      <c r="C578" s="11" t="s">
        <v>84</v>
      </c>
      <c r="D578" s="15" t="s">
        <v>656</v>
      </c>
      <c r="E578" s="45"/>
      <c r="F578" s="45">
        <v>0</v>
      </c>
    </row>
    <row r="579" spans="1:6" x14ac:dyDescent="0.35">
      <c r="A579" s="26">
        <v>44256</v>
      </c>
      <c r="B579" s="2" t="s">
        <v>612</v>
      </c>
      <c r="C579" s="11" t="s">
        <v>84</v>
      </c>
      <c r="D579" s="15" t="s">
        <v>657</v>
      </c>
      <c r="E579" s="45"/>
      <c r="F579" s="45">
        <v>0</v>
      </c>
    </row>
    <row r="580" spans="1:6" x14ac:dyDescent="0.35">
      <c r="A580" s="26">
        <v>44258</v>
      </c>
      <c r="B580" s="2" t="s">
        <v>613</v>
      </c>
      <c r="C580" s="11" t="s">
        <v>84</v>
      </c>
      <c r="D580" s="2" t="s">
        <v>658</v>
      </c>
      <c r="E580" s="45"/>
      <c r="F580" s="45">
        <v>0</v>
      </c>
    </row>
    <row r="581" spans="1:6" x14ac:dyDescent="0.35">
      <c r="A581" s="26">
        <v>44264</v>
      </c>
      <c r="B581" s="2" t="s">
        <v>615</v>
      </c>
      <c r="C581" s="11" t="s">
        <v>84</v>
      </c>
      <c r="D581" s="39" t="s">
        <v>593</v>
      </c>
      <c r="E581" s="45"/>
      <c r="F581" s="45">
        <v>0</v>
      </c>
    </row>
    <row r="582" spans="1:6" x14ac:dyDescent="0.35">
      <c r="A582" s="27">
        <v>44267</v>
      </c>
      <c r="B582" s="2" t="s">
        <v>333</v>
      </c>
      <c r="C582" s="11" t="s">
        <v>84</v>
      </c>
      <c r="D582" s="2" t="s">
        <v>659</v>
      </c>
      <c r="E582" s="45"/>
      <c r="F582" s="45">
        <v>0</v>
      </c>
    </row>
    <row r="583" spans="1:6" x14ac:dyDescent="0.35">
      <c r="A583" s="26">
        <v>44270</v>
      </c>
      <c r="B583" s="2" t="s">
        <v>616</v>
      </c>
      <c r="C583" s="11" t="s">
        <v>84</v>
      </c>
      <c r="D583" s="2" t="s">
        <v>660</v>
      </c>
      <c r="E583" s="45"/>
      <c r="F583" s="45">
        <v>0</v>
      </c>
    </row>
    <row r="584" spans="1:6" x14ac:dyDescent="0.35">
      <c r="A584" s="26">
        <v>44273</v>
      </c>
      <c r="B584" s="2" t="s">
        <v>610</v>
      </c>
      <c r="C584" s="11" t="s">
        <v>84</v>
      </c>
      <c r="D584" s="2" t="s">
        <v>655</v>
      </c>
      <c r="E584" s="45"/>
      <c r="F584" s="45">
        <v>0</v>
      </c>
    </row>
    <row r="585" spans="1:6" x14ac:dyDescent="0.35">
      <c r="A585" s="26">
        <v>44285</v>
      </c>
      <c r="B585" s="2" t="s">
        <v>618</v>
      </c>
      <c r="C585" s="11" t="s">
        <v>84</v>
      </c>
      <c r="D585" s="39" t="s">
        <v>593</v>
      </c>
      <c r="E585" s="45"/>
      <c r="F585" s="45">
        <v>0</v>
      </c>
    </row>
    <row r="586" spans="1:6" x14ac:dyDescent="0.35">
      <c r="A586" s="26">
        <v>44286</v>
      </c>
      <c r="B586" s="2" t="s">
        <v>619</v>
      </c>
      <c r="C586" s="11" t="s">
        <v>84</v>
      </c>
      <c r="D586" s="39" t="s">
        <v>593</v>
      </c>
      <c r="E586" s="45"/>
      <c r="F586" s="45">
        <v>0</v>
      </c>
    </row>
    <row r="587" spans="1:6" x14ac:dyDescent="0.35">
      <c r="A587" s="26">
        <v>44286</v>
      </c>
      <c r="B587" s="2" t="s">
        <v>620</v>
      </c>
      <c r="C587" s="11" t="s">
        <v>84</v>
      </c>
      <c r="D587" s="13" t="s">
        <v>593</v>
      </c>
      <c r="E587" s="45"/>
      <c r="F587" s="45">
        <v>0</v>
      </c>
    </row>
    <row r="588" spans="1:6" x14ac:dyDescent="0.35">
      <c r="A588" s="27">
        <v>44288</v>
      </c>
      <c r="B588" s="2" t="s">
        <v>621</v>
      </c>
      <c r="C588" s="11" t="s">
        <v>84</v>
      </c>
      <c r="D588" s="15" t="s">
        <v>662</v>
      </c>
      <c r="E588" s="46"/>
      <c r="F588" s="45">
        <v>0</v>
      </c>
    </row>
    <row r="589" spans="1:6" x14ac:dyDescent="0.35">
      <c r="A589" s="26">
        <v>44293</v>
      </c>
      <c r="B589" s="2" t="s">
        <v>622</v>
      </c>
      <c r="C589" s="11" t="s">
        <v>84</v>
      </c>
      <c r="D589" s="2" t="s">
        <v>655</v>
      </c>
      <c r="E589" s="45"/>
      <c r="F589" s="45">
        <v>0</v>
      </c>
    </row>
    <row r="590" spans="1:6" x14ac:dyDescent="0.35">
      <c r="A590" s="26">
        <v>44295</v>
      </c>
      <c r="B590" s="2" t="s">
        <v>608</v>
      </c>
      <c r="C590" s="11" t="s">
        <v>84</v>
      </c>
      <c r="D590" s="2" t="s">
        <v>653</v>
      </c>
      <c r="E590" s="45"/>
      <c r="F590" s="45">
        <v>0</v>
      </c>
    </row>
    <row r="591" spans="1:6" x14ac:dyDescent="0.35">
      <c r="A591" s="26">
        <v>44301</v>
      </c>
      <c r="B591" s="2" t="s">
        <v>623</v>
      </c>
      <c r="C591" s="11" t="s">
        <v>84</v>
      </c>
      <c r="D591" s="2" t="s">
        <v>663</v>
      </c>
      <c r="E591" s="45"/>
      <c r="F591" s="45">
        <v>0</v>
      </c>
    </row>
    <row r="592" spans="1:6" x14ac:dyDescent="0.35">
      <c r="A592" s="26">
        <v>44301</v>
      </c>
      <c r="B592" s="2" t="s">
        <v>610</v>
      </c>
      <c r="C592" s="41" t="s">
        <v>84</v>
      </c>
      <c r="D592" s="15" t="s">
        <v>655</v>
      </c>
      <c r="E592" s="45"/>
      <c r="F592" s="45">
        <v>0</v>
      </c>
    </row>
    <row r="593" spans="1:6" x14ac:dyDescent="0.35">
      <c r="A593" s="26">
        <v>44354</v>
      </c>
      <c r="B593" s="2" t="s">
        <v>624</v>
      </c>
      <c r="C593" s="11" t="s">
        <v>84</v>
      </c>
      <c r="D593" s="13" t="s">
        <v>593</v>
      </c>
      <c r="E593" s="45"/>
      <c r="F593" s="45">
        <v>0</v>
      </c>
    </row>
    <row r="594" spans="1:6" x14ac:dyDescent="0.35">
      <c r="A594" s="26">
        <v>44358</v>
      </c>
      <c r="B594" s="2" t="s">
        <v>625</v>
      </c>
      <c r="C594" s="11" t="s">
        <v>594</v>
      </c>
      <c r="D594" s="2" t="s">
        <v>665</v>
      </c>
      <c r="E594" s="45">
        <v>2200</v>
      </c>
      <c r="F594" s="45">
        <v>2640</v>
      </c>
    </row>
    <row r="595" spans="1:6" x14ac:dyDescent="0.35">
      <c r="A595" s="27">
        <v>44368</v>
      </c>
      <c r="B595" s="2" t="s">
        <v>626</v>
      </c>
      <c r="C595" s="11" t="s">
        <v>84</v>
      </c>
      <c r="D595" s="39" t="s">
        <v>593</v>
      </c>
      <c r="E595" s="45"/>
      <c r="F595" s="45">
        <v>0</v>
      </c>
    </row>
    <row r="596" spans="1:6" x14ac:dyDescent="0.35">
      <c r="A596" s="26">
        <v>44368</v>
      </c>
      <c r="B596" s="2" t="s">
        <v>624</v>
      </c>
      <c r="C596" s="11" t="s">
        <v>84</v>
      </c>
      <c r="D596" s="39" t="s">
        <v>593</v>
      </c>
      <c r="E596" s="45"/>
      <c r="F596" s="45">
        <v>0</v>
      </c>
    </row>
    <row r="597" spans="1:6" x14ac:dyDescent="0.35">
      <c r="A597" s="26">
        <v>44371</v>
      </c>
      <c r="B597" s="2" t="s">
        <v>628</v>
      </c>
      <c r="C597" s="11" t="s">
        <v>84</v>
      </c>
      <c r="D597" s="15" t="s">
        <v>667</v>
      </c>
      <c r="E597" s="45"/>
      <c r="F597" s="45">
        <v>0</v>
      </c>
    </row>
    <row r="598" spans="1:6" x14ac:dyDescent="0.35">
      <c r="A598" s="26">
        <v>44372</v>
      </c>
      <c r="B598" s="2" t="s">
        <v>629</v>
      </c>
      <c r="C598" s="11" t="s">
        <v>84</v>
      </c>
      <c r="D598" s="2" t="s">
        <v>668</v>
      </c>
      <c r="E598" s="45"/>
      <c r="F598" s="45">
        <v>0</v>
      </c>
    </row>
    <row r="599" spans="1:6" x14ac:dyDescent="0.35">
      <c r="A599" s="26">
        <v>44376</v>
      </c>
      <c r="B599" s="2" t="s">
        <v>592</v>
      </c>
      <c r="C599" s="11" t="s">
        <v>84</v>
      </c>
      <c r="D599" s="39" t="s">
        <v>593</v>
      </c>
      <c r="E599" s="45"/>
      <c r="F599" s="45">
        <v>0</v>
      </c>
    </row>
    <row r="600" spans="1:6" x14ac:dyDescent="0.35">
      <c r="A600" s="27">
        <v>44378</v>
      </c>
      <c r="B600" s="2" t="s">
        <v>630</v>
      </c>
      <c r="C600" s="11" t="s">
        <v>84</v>
      </c>
      <c r="D600" s="15" t="s">
        <v>669</v>
      </c>
      <c r="E600" s="45"/>
      <c r="F600" s="45">
        <v>0</v>
      </c>
    </row>
    <row r="601" spans="1:6" x14ac:dyDescent="0.35">
      <c r="A601" s="27">
        <v>44379</v>
      </c>
      <c r="B601" s="2" t="s">
        <v>631</v>
      </c>
      <c r="C601" s="11" t="s">
        <v>84</v>
      </c>
      <c r="D601" s="2" t="s">
        <v>670</v>
      </c>
      <c r="E601" s="45"/>
      <c r="F601" s="45">
        <v>0</v>
      </c>
    </row>
    <row r="602" spans="1:6" x14ac:dyDescent="0.35">
      <c r="A602" s="27">
        <v>44379</v>
      </c>
      <c r="B602" s="2" t="s">
        <v>632</v>
      </c>
      <c r="C602" s="11" t="s">
        <v>84</v>
      </c>
      <c r="D602" s="13" t="s">
        <v>593</v>
      </c>
      <c r="E602" s="45"/>
      <c r="F602" s="45">
        <v>0</v>
      </c>
    </row>
    <row r="603" spans="1:6" x14ac:dyDescent="0.35">
      <c r="A603" s="27">
        <v>44386</v>
      </c>
      <c r="B603" s="2" t="s">
        <v>633</v>
      </c>
      <c r="C603" s="11" t="s">
        <v>84</v>
      </c>
      <c r="D603" s="13" t="s">
        <v>593</v>
      </c>
      <c r="E603" s="45"/>
      <c r="F603" s="45">
        <v>0</v>
      </c>
    </row>
    <row r="604" spans="1:6" x14ac:dyDescent="0.35">
      <c r="A604" s="26">
        <v>44446</v>
      </c>
      <c r="B604" s="2" t="s">
        <v>634</v>
      </c>
      <c r="C604" s="11" t="s">
        <v>84</v>
      </c>
      <c r="D604" s="13" t="s">
        <v>593</v>
      </c>
      <c r="E604" s="45"/>
      <c r="F604" s="45">
        <v>0</v>
      </c>
    </row>
    <row r="605" spans="1:6" x14ac:dyDescent="0.35">
      <c r="A605" s="26">
        <v>44449</v>
      </c>
      <c r="B605" s="38" t="s">
        <v>635</v>
      </c>
      <c r="C605" s="11" t="s">
        <v>84</v>
      </c>
      <c r="D605" s="13" t="s">
        <v>593</v>
      </c>
      <c r="E605" s="45"/>
      <c r="F605" s="45">
        <v>0</v>
      </c>
    </row>
    <row r="606" spans="1:6" x14ac:dyDescent="0.35">
      <c r="A606" s="27">
        <v>44452</v>
      </c>
      <c r="B606" s="2" t="s">
        <v>636</v>
      </c>
      <c r="C606" s="11" t="s">
        <v>84</v>
      </c>
      <c r="D606" s="13" t="s">
        <v>593</v>
      </c>
      <c r="E606" s="45"/>
      <c r="F606" s="45">
        <v>0</v>
      </c>
    </row>
    <row r="607" spans="1:6" x14ac:dyDescent="0.35">
      <c r="A607" s="27">
        <v>44455</v>
      </c>
      <c r="B607" s="2" t="s">
        <v>610</v>
      </c>
      <c r="C607" s="11" t="s">
        <v>84</v>
      </c>
      <c r="D607" s="13" t="s">
        <v>593</v>
      </c>
      <c r="E607" s="45"/>
      <c r="F607" s="45">
        <v>0</v>
      </c>
    </row>
    <row r="608" spans="1:6" x14ac:dyDescent="0.35">
      <c r="A608" s="27">
        <v>44457</v>
      </c>
      <c r="B608" s="2" t="s">
        <v>637</v>
      </c>
      <c r="C608" s="11" t="s">
        <v>84</v>
      </c>
      <c r="D608" s="13" t="s">
        <v>593</v>
      </c>
      <c r="E608" s="45"/>
      <c r="F608" s="45">
        <v>0</v>
      </c>
    </row>
    <row r="609" spans="1:6" x14ac:dyDescent="0.35">
      <c r="A609" s="27">
        <v>44460</v>
      </c>
      <c r="B609" s="2" t="s">
        <v>638</v>
      </c>
      <c r="C609" s="11" t="s">
        <v>84</v>
      </c>
      <c r="D609" s="13" t="s">
        <v>593</v>
      </c>
      <c r="E609" s="45"/>
      <c r="F609" s="45">
        <v>0</v>
      </c>
    </row>
    <row r="610" spans="1:6" x14ac:dyDescent="0.35">
      <c r="A610" s="27">
        <v>44462</v>
      </c>
      <c r="B610" s="2" t="s">
        <v>585</v>
      </c>
      <c r="C610" s="11" t="s">
        <v>84</v>
      </c>
      <c r="D610" s="13" t="s">
        <v>593</v>
      </c>
      <c r="E610" s="45"/>
      <c r="F610" s="45">
        <v>0</v>
      </c>
    </row>
    <row r="611" spans="1:6" x14ac:dyDescent="0.35">
      <c r="A611" s="27">
        <v>44467</v>
      </c>
      <c r="B611" s="2" t="s">
        <v>639</v>
      </c>
      <c r="C611" s="11" t="s">
        <v>84</v>
      </c>
      <c r="D611" s="13" t="s">
        <v>593</v>
      </c>
      <c r="E611" s="45"/>
      <c r="F611" s="45">
        <v>0</v>
      </c>
    </row>
    <row r="612" spans="1:6" x14ac:dyDescent="0.35">
      <c r="A612" s="27">
        <v>44467</v>
      </c>
      <c r="B612" s="2" t="s">
        <v>640</v>
      </c>
      <c r="C612" s="11" t="s">
        <v>84</v>
      </c>
      <c r="D612" s="13" t="s">
        <v>593</v>
      </c>
      <c r="E612" s="45"/>
      <c r="F612" s="45">
        <v>0</v>
      </c>
    </row>
    <row r="613" spans="1:6" x14ac:dyDescent="0.35">
      <c r="A613" s="27">
        <v>44469</v>
      </c>
      <c r="B613" s="2" t="s">
        <v>641</v>
      </c>
      <c r="C613" s="11" t="s">
        <v>84</v>
      </c>
      <c r="D613" s="13" t="s">
        <v>593</v>
      </c>
      <c r="E613" s="45"/>
      <c r="F613" s="45">
        <v>0</v>
      </c>
    </row>
    <row r="614" spans="1:6" x14ac:dyDescent="0.35">
      <c r="A614" s="27">
        <v>44475</v>
      </c>
      <c r="B614" s="2" t="s">
        <v>642</v>
      </c>
      <c r="C614" s="11" t="s">
        <v>84</v>
      </c>
      <c r="D614" s="13" t="s">
        <v>593</v>
      </c>
      <c r="E614" s="45"/>
      <c r="F614" s="45">
        <v>0</v>
      </c>
    </row>
    <row r="615" spans="1:6" x14ac:dyDescent="0.35">
      <c r="A615" s="27">
        <v>44477</v>
      </c>
      <c r="B615" s="2" t="s">
        <v>643</v>
      </c>
      <c r="C615" s="11" t="s">
        <v>84</v>
      </c>
      <c r="D615" s="13" t="s">
        <v>593</v>
      </c>
      <c r="E615" s="45"/>
      <c r="F615" s="45">
        <v>0</v>
      </c>
    </row>
    <row r="616" spans="1:6" x14ac:dyDescent="0.35">
      <c r="A616" s="27">
        <v>44478</v>
      </c>
      <c r="B616" s="2" t="s">
        <v>644</v>
      </c>
      <c r="C616" s="11" t="s">
        <v>84</v>
      </c>
      <c r="D616" s="13" t="s">
        <v>593</v>
      </c>
      <c r="E616" s="45"/>
      <c r="F616" s="45">
        <v>0</v>
      </c>
    </row>
    <row r="617" spans="1:6" x14ac:dyDescent="0.35">
      <c r="A617" s="27">
        <v>44480</v>
      </c>
      <c r="B617" s="2" t="s">
        <v>645</v>
      </c>
      <c r="C617" s="11" t="s">
        <v>84</v>
      </c>
      <c r="D617" s="13" t="s">
        <v>593</v>
      </c>
      <c r="E617" s="45"/>
      <c r="F617" s="45">
        <v>0</v>
      </c>
    </row>
    <row r="618" spans="1:6" x14ac:dyDescent="0.35">
      <c r="A618" s="27">
        <v>44480</v>
      </c>
      <c r="B618" s="2" t="s">
        <v>562</v>
      </c>
      <c r="C618" s="11" t="s">
        <v>84</v>
      </c>
      <c r="D618" s="13" t="s">
        <v>593</v>
      </c>
      <c r="E618" s="45"/>
      <c r="F618" s="45">
        <v>0</v>
      </c>
    </row>
    <row r="619" spans="1:6" x14ac:dyDescent="0.35">
      <c r="A619" s="27">
        <v>44481</v>
      </c>
      <c r="B619" s="2" t="s">
        <v>646</v>
      </c>
      <c r="C619" s="11" t="s">
        <v>84</v>
      </c>
      <c r="D619" s="13" t="s">
        <v>593</v>
      </c>
      <c r="E619" s="45"/>
      <c r="F619" s="45">
        <v>0</v>
      </c>
    </row>
    <row r="620" spans="1:6" x14ac:dyDescent="0.35">
      <c r="A620" s="27">
        <v>44483</v>
      </c>
      <c r="B620" s="2" t="s">
        <v>647</v>
      </c>
      <c r="C620" s="11" t="s">
        <v>84</v>
      </c>
      <c r="D620" s="13" t="s">
        <v>593</v>
      </c>
      <c r="E620" s="45"/>
      <c r="F620" s="45">
        <v>0</v>
      </c>
    </row>
    <row r="621" spans="1:6" x14ac:dyDescent="0.35">
      <c r="A621" s="27">
        <v>44487</v>
      </c>
      <c r="B621" s="2" t="s">
        <v>648</v>
      </c>
      <c r="C621" s="11" t="s">
        <v>84</v>
      </c>
      <c r="D621" s="13" t="s">
        <v>593</v>
      </c>
      <c r="E621" s="45"/>
      <c r="F621" s="45">
        <v>0</v>
      </c>
    </row>
    <row r="622" spans="1:6" x14ac:dyDescent="0.35">
      <c r="A622" s="27">
        <v>44488</v>
      </c>
      <c r="B622" s="2" t="s">
        <v>649</v>
      </c>
      <c r="C622" s="11" t="s">
        <v>84</v>
      </c>
      <c r="D622" s="13" t="s">
        <v>593</v>
      </c>
      <c r="E622" s="45"/>
      <c r="F622" s="45">
        <v>0</v>
      </c>
    </row>
    <row r="623" spans="1:6" x14ac:dyDescent="0.35">
      <c r="A623" s="27">
        <v>44490</v>
      </c>
      <c r="B623" s="2" t="s">
        <v>610</v>
      </c>
      <c r="C623" s="11" t="s">
        <v>84</v>
      </c>
      <c r="D623" s="13" t="s">
        <v>593</v>
      </c>
      <c r="E623" s="45"/>
      <c r="F623" s="45">
        <v>0</v>
      </c>
    </row>
    <row r="624" spans="1:6" x14ac:dyDescent="0.35">
      <c r="A624" s="26">
        <v>44494</v>
      </c>
      <c r="B624" s="2" t="s">
        <v>650</v>
      </c>
      <c r="C624" s="11" t="s">
        <v>84</v>
      </c>
      <c r="D624" s="13" t="s">
        <v>593</v>
      </c>
      <c r="E624" s="45"/>
      <c r="F624" s="45">
        <v>0</v>
      </c>
    </row>
    <row r="625" spans="1:6" x14ac:dyDescent="0.35">
      <c r="A625" s="26">
        <v>44497</v>
      </c>
      <c r="B625" s="14" t="s">
        <v>651</v>
      </c>
      <c r="C625" s="41" t="s">
        <v>84</v>
      </c>
      <c r="D625" s="13" t="s">
        <v>593</v>
      </c>
      <c r="E625" s="45"/>
      <c r="F625" s="45">
        <v>0</v>
      </c>
    </row>
    <row r="626" spans="1:6" x14ac:dyDescent="0.35">
      <c r="A626" s="26">
        <v>44562</v>
      </c>
      <c r="B626" s="2" t="s">
        <v>726</v>
      </c>
      <c r="C626" s="41" t="s">
        <v>84</v>
      </c>
      <c r="D626" s="13" t="s">
        <v>593</v>
      </c>
      <c r="E626" s="45">
        <v>1650.8</v>
      </c>
      <c r="F626" s="44" t="s">
        <v>593</v>
      </c>
    </row>
    <row r="627" spans="1:6" x14ac:dyDescent="0.35">
      <c r="A627" s="26">
        <v>44571</v>
      </c>
      <c r="B627" s="2" t="s">
        <v>671</v>
      </c>
      <c r="C627" s="41" t="s">
        <v>84</v>
      </c>
      <c r="D627" s="39" t="s">
        <v>593</v>
      </c>
      <c r="E627" s="45"/>
      <c r="F627" s="44" t="s">
        <v>593</v>
      </c>
    </row>
    <row r="628" spans="1:6" x14ac:dyDescent="0.35">
      <c r="A628" s="26">
        <v>44572</v>
      </c>
      <c r="B628" s="2" t="s">
        <v>672</v>
      </c>
      <c r="C628" s="41" t="s">
        <v>84</v>
      </c>
      <c r="D628" s="13" t="s">
        <v>593</v>
      </c>
      <c r="E628" s="45"/>
      <c r="F628" s="44" t="s">
        <v>593</v>
      </c>
    </row>
    <row r="629" spans="1:6" x14ac:dyDescent="0.35">
      <c r="A629" s="26">
        <v>44575</v>
      </c>
      <c r="B629" s="2" t="s">
        <v>673</v>
      </c>
      <c r="C629" s="41" t="s">
        <v>84</v>
      </c>
      <c r="D629" s="17" t="s">
        <v>762</v>
      </c>
      <c r="E629" s="45"/>
      <c r="F629" s="44" t="s">
        <v>593</v>
      </c>
    </row>
    <row r="630" spans="1:6" x14ac:dyDescent="0.35">
      <c r="A630" s="26">
        <v>44578</v>
      </c>
      <c r="B630" s="2" t="s">
        <v>671</v>
      </c>
      <c r="C630" s="41" t="s">
        <v>84</v>
      </c>
      <c r="D630" s="13" t="s">
        <v>593</v>
      </c>
      <c r="E630" s="45"/>
      <c r="F630" s="44" t="s">
        <v>593</v>
      </c>
    </row>
    <row r="631" spans="1:6" x14ac:dyDescent="0.35">
      <c r="A631" s="26">
        <v>44587</v>
      </c>
      <c r="B631" s="2" t="s">
        <v>675</v>
      </c>
      <c r="C631" s="41" t="s">
        <v>84</v>
      </c>
      <c r="D631" s="13" t="s">
        <v>593</v>
      </c>
      <c r="E631" s="45"/>
      <c r="F631" s="44" t="s">
        <v>593</v>
      </c>
    </row>
    <row r="632" spans="1:6" x14ac:dyDescent="0.35">
      <c r="A632" s="26">
        <v>44587</v>
      </c>
      <c r="B632" s="2" t="s">
        <v>676</v>
      </c>
      <c r="C632" s="41" t="s">
        <v>84</v>
      </c>
      <c r="D632" s="39" t="s">
        <v>593</v>
      </c>
      <c r="E632" s="45"/>
      <c r="F632" s="44" t="s">
        <v>593</v>
      </c>
    </row>
    <row r="633" spans="1:6" x14ac:dyDescent="0.35">
      <c r="A633" s="26">
        <v>44588</v>
      </c>
      <c r="B633" s="2" t="s">
        <v>677</v>
      </c>
      <c r="C633" s="41" t="s">
        <v>84</v>
      </c>
      <c r="D633" s="16" t="s">
        <v>597</v>
      </c>
      <c r="E633" s="45"/>
      <c r="F633" s="44" t="s">
        <v>593</v>
      </c>
    </row>
    <row r="634" spans="1:6" x14ac:dyDescent="0.35">
      <c r="A634" s="26">
        <v>44592</v>
      </c>
      <c r="B634" s="2" t="s">
        <v>671</v>
      </c>
      <c r="C634" s="41" t="s">
        <v>84</v>
      </c>
      <c r="D634" s="13" t="s">
        <v>593</v>
      </c>
      <c r="E634" s="45"/>
      <c r="F634" s="44" t="s">
        <v>593</v>
      </c>
    </row>
    <row r="635" spans="1:6" x14ac:dyDescent="0.35">
      <c r="A635" s="26">
        <v>44593</v>
      </c>
      <c r="B635" s="2" t="s">
        <v>679</v>
      </c>
      <c r="C635" s="41" t="s">
        <v>84</v>
      </c>
      <c r="D635" s="17" t="s">
        <v>598</v>
      </c>
      <c r="E635" s="45"/>
      <c r="F635" s="44" t="s">
        <v>593</v>
      </c>
    </row>
    <row r="636" spans="1:6" x14ac:dyDescent="0.35">
      <c r="A636" s="27">
        <v>44595</v>
      </c>
      <c r="B636" s="2" t="s">
        <v>680</v>
      </c>
      <c r="C636" s="41" t="s">
        <v>84</v>
      </c>
      <c r="D636" s="13" t="s">
        <v>593</v>
      </c>
      <c r="E636" s="45"/>
      <c r="F636" s="44" t="s">
        <v>593</v>
      </c>
    </row>
    <row r="637" spans="1:6" x14ac:dyDescent="0.35">
      <c r="A637" s="26">
        <v>44599</v>
      </c>
      <c r="B637" s="2" t="s">
        <v>671</v>
      </c>
      <c r="C637" s="41" t="s">
        <v>84</v>
      </c>
      <c r="D637" s="13" t="s">
        <v>593</v>
      </c>
      <c r="E637" s="45"/>
      <c r="F637" s="44" t="s">
        <v>593</v>
      </c>
    </row>
    <row r="638" spans="1:6" x14ac:dyDescent="0.35">
      <c r="A638" s="27">
        <v>44600</v>
      </c>
      <c r="B638" s="2" t="s">
        <v>681</v>
      </c>
      <c r="C638" s="41" t="s">
        <v>84</v>
      </c>
      <c r="D638" s="13" t="s">
        <v>593</v>
      </c>
      <c r="E638" s="45"/>
      <c r="F638" s="44" t="s">
        <v>593</v>
      </c>
    </row>
    <row r="639" spans="1:6" x14ac:dyDescent="0.35">
      <c r="A639" s="27">
        <v>44601</v>
      </c>
      <c r="B639" s="2" t="s">
        <v>682</v>
      </c>
      <c r="C639" s="41" t="s">
        <v>84</v>
      </c>
      <c r="D639" s="13" t="s">
        <v>593</v>
      </c>
      <c r="E639" s="45"/>
      <c r="F639" s="44" t="s">
        <v>593</v>
      </c>
    </row>
    <row r="640" spans="1:6" x14ac:dyDescent="0.35">
      <c r="A640" s="26">
        <v>44606</v>
      </c>
      <c r="B640" s="2" t="s">
        <v>671</v>
      </c>
      <c r="C640" s="41" t="s">
        <v>84</v>
      </c>
      <c r="D640" s="13" t="s">
        <v>593</v>
      </c>
      <c r="E640" s="45"/>
      <c r="F640" s="44" t="s">
        <v>593</v>
      </c>
    </row>
    <row r="641" spans="1:6" x14ac:dyDescent="0.35">
      <c r="A641" s="26">
        <v>44609</v>
      </c>
      <c r="B641" s="2" t="s">
        <v>683</v>
      </c>
      <c r="C641" s="41" t="s">
        <v>84</v>
      </c>
      <c r="D641" s="16" t="s">
        <v>764</v>
      </c>
      <c r="E641" s="45"/>
      <c r="F641" s="44" t="s">
        <v>593</v>
      </c>
    </row>
    <row r="642" spans="1:6" x14ac:dyDescent="0.35">
      <c r="A642" s="26">
        <v>44613</v>
      </c>
      <c r="B642" s="2" t="s">
        <v>671</v>
      </c>
      <c r="C642" s="41" t="s">
        <v>84</v>
      </c>
      <c r="D642" s="13" t="s">
        <v>593</v>
      </c>
      <c r="E642" s="45"/>
      <c r="F642" s="44" t="s">
        <v>593</v>
      </c>
    </row>
    <row r="643" spans="1:6" x14ac:dyDescent="0.35">
      <c r="A643" s="26">
        <v>44616</v>
      </c>
      <c r="B643" s="2" t="s">
        <v>676</v>
      </c>
      <c r="C643" s="41" t="s">
        <v>84</v>
      </c>
      <c r="D643" s="17" t="s">
        <v>600</v>
      </c>
      <c r="E643" s="45"/>
      <c r="F643" s="44" t="s">
        <v>593</v>
      </c>
    </row>
    <row r="644" spans="1:6" x14ac:dyDescent="0.35">
      <c r="A644" s="26">
        <v>44620</v>
      </c>
      <c r="B644" s="2" t="s">
        <v>671</v>
      </c>
      <c r="C644" s="41" t="s">
        <v>84</v>
      </c>
      <c r="D644" s="13" t="s">
        <v>593</v>
      </c>
      <c r="E644" s="45"/>
      <c r="F644" s="44" t="s">
        <v>593</v>
      </c>
    </row>
    <row r="645" spans="1:6" x14ac:dyDescent="0.35">
      <c r="A645" s="26">
        <v>44627</v>
      </c>
      <c r="B645" s="2" t="s">
        <v>671</v>
      </c>
      <c r="C645" s="41" t="s">
        <v>84</v>
      </c>
      <c r="D645" s="13" t="s">
        <v>593</v>
      </c>
      <c r="E645" s="45"/>
      <c r="F645" s="44" t="s">
        <v>593</v>
      </c>
    </row>
    <row r="646" spans="1:6" x14ac:dyDescent="0.35">
      <c r="A646" s="26">
        <v>44628</v>
      </c>
      <c r="B646" s="2" t="s">
        <v>684</v>
      </c>
      <c r="C646" s="41" t="s">
        <v>84</v>
      </c>
      <c r="D646" s="17" t="s">
        <v>601</v>
      </c>
      <c r="E646" s="45"/>
      <c r="F646" s="44" t="s">
        <v>593</v>
      </c>
    </row>
    <row r="647" spans="1:6" x14ac:dyDescent="0.35">
      <c r="A647" s="27">
        <v>44629</v>
      </c>
      <c r="B647" s="2" t="s">
        <v>686</v>
      </c>
      <c r="C647" s="41" t="s">
        <v>594</v>
      </c>
      <c r="D647" s="17" t="s">
        <v>765</v>
      </c>
      <c r="E647" s="45">
        <v>1400</v>
      </c>
      <c r="F647" s="44" t="s">
        <v>593</v>
      </c>
    </row>
    <row r="648" spans="1:6" x14ac:dyDescent="0.35">
      <c r="A648" s="27">
        <v>44629</v>
      </c>
      <c r="B648" s="2" t="s">
        <v>685</v>
      </c>
      <c r="C648" s="41" t="s">
        <v>84</v>
      </c>
      <c r="D648" s="39" t="s">
        <v>593</v>
      </c>
      <c r="E648" s="45"/>
      <c r="F648" s="44" t="s">
        <v>593</v>
      </c>
    </row>
    <row r="649" spans="1:6" x14ac:dyDescent="0.35">
      <c r="A649" s="26">
        <v>44631</v>
      </c>
      <c r="B649" s="2" t="s">
        <v>687</v>
      </c>
      <c r="C649" s="41" t="s">
        <v>84</v>
      </c>
      <c r="D649" s="16" t="s">
        <v>766</v>
      </c>
      <c r="E649" s="45">
        <v>84</v>
      </c>
      <c r="F649" s="44" t="s">
        <v>593</v>
      </c>
    </row>
    <row r="650" spans="1:6" x14ac:dyDescent="0.35">
      <c r="A650" s="26">
        <v>44637</v>
      </c>
      <c r="B650" s="2" t="s">
        <v>683</v>
      </c>
      <c r="C650" s="41" t="s">
        <v>84</v>
      </c>
      <c r="D650" s="16" t="s">
        <v>764</v>
      </c>
      <c r="E650" s="45"/>
      <c r="F650" s="44" t="s">
        <v>593</v>
      </c>
    </row>
    <row r="651" spans="1:6" x14ac:dyDescent="0.35">
      <c r="A651" s="27">
        <v>44638</v>
      </c>
      <c r="B651" s="2" t="s">
        <v>688</v>
      </c>
      <c r="C651" s="41" t="s">
        <v>594</v>
      </c>
      <c r="D651" s="16" t="s">
        <v>602</v>
      </c>
      <c r="E651" s="45">
        <v>1457.27</v>
      </c>
      <c r="F651" s="44" t="s">
        <v>593</v>
      </c>
    </row>
    <row r="652" spans="1:6" x14ac:dyDescent="0.35">
      <c r="A652" s="26">
        <v>44639</v>
      </c>
      <c r="B652" s="2" t="s">
        <v>689</v>
      </c>
      <c r="C652" s="41" t="s">
        <v>84</v>
      </c>
      <c r="D652" s="16" t="s">
        <v>603</v>
      </c>
      <c r="E652" s="45"/>
      <c r="F652" s="44" t="s">
        <v>593</v>
      </c>
    </row>
    <row r="653" spans="1:6" x14ac:dyDescent="0.35">
      <c r="A653" s="26">
        <v>44641</v>
      </c>
      <c r="B653" s="2" t="s">
        <v>671</v>
      </c>
      <c r="C653" s="41" t="s">
        <v>84</v>
      </c>
      <c r="D653" s="13" t="s">
        <v>593</v>
      </c>
      <c r="E653" s="45"/>
      <c r="F653" s="44" t="s">
        <v>593</v>
      </c>
    </row>
    <row r="654" spans="1:6" x14ac:dyDescent="0.35">
      <c r="A654" s="26">
        <v>44648</v>
      </c>
      <c r="B654" s="2" t="s">
        <v>671</v>
      </c>
      <c r="C654" s="41" t="s">
        <v>84</v>
      </c>
      <c r="D654" s="13" t="s">
        <v>593</v>
      </c>
      <c r="E654" s="45"/>
      <c r="F654" s="44" t="s">
        <v>593</v>
      </c>
    </row>
    <row r="655" spans="1:6" x14ac:dyDescent="0.35">
      <c r="A655" s="26">
        <v>44649</v>
      </c>
      <c r="B655" s="2" t="s">
        <v>690</v>
      </c>
      <c r="C655" s="41" t="s">
        <v>84</v>
      </c>
      <c r="D655" s="16" t="s">
        <v>767</v>
      </c>
      <c r="E655" s="45"/>
      <c r="F655" s="44" t="s">
        <v>593</v>
      </c>
    </row>
    <row r="656" spans="1:6" x14ac:dyDescent="0.35">
      <c r="A656" s="26">
        <v>44650</v>
      </c>
      <c r="B656" s="2" t="s">
        <v>676</v>
      </c>
      <c r="C656" s="41" t="s">
        <v>84</v>
      </c>
      <c r="D656" s="17" t="s">
        <v>600</v>
      </c>
      <c r="E656" s="45"/>
      <c r="F656" s="44" t="s">
        <v>593</v>
      </c>
    </row>
    <row r="657" spans="1:6" x14ac:dyDescent="0.35">
      <c r="A657" s="26">
        <v>44655</v>
      </c>
      <c r="B657" s="2" t="s">
        <v>671</v>
      </c>
      <c r="C657" s="41" t="s">
        <v>84</v>
      </c>
      <c r="D657" s="13" t="s">
        <v>593</v>
      </c>
      <c r="E657" s="45"/>
      <c r="F657" s="44" t="s">
        <v>593</v>
      </c>
    </row>
    <row r="658" spans="1:6" x14ac:dyDescent="0.35">
      <c r="A658" s="26">
        <v>44657</v>
      </c>
      <c r="B658" s="2" t="s">
        <v>532</v>
      </c>
      <c r="C658" s="41" t="s">
        <v>84</v>
      </c>
      <c r="D658" s="17" t="s">
        <v>768</v>
      </c>
      <c r="E658" s="45"/>
      <c r="F658" s="44" t="s">
        <v>593</v>
      </c>
    </row>
    <row r="659" spans="1:6" x14ac:dyDescent="0.35">
      <c r="A659" s="26">
        <v>44659</v>
      </c>
      <c r="B659" s="2" t="s">
        <v>691</v>
      </c>
      <c r="C659" s="41" t="s">
        <v>84</v>
      </c>
      <c r="D659" s="42" t="s">
        <v>769</v>
      </c>
      <c r="E659" s="45"/>
      <c r="F659" s="44" t="s">
        <v>593</v>
      </c>
    </row>
    <row r="660" spans="1:6" x14ac:dyDescent="0.35">
      <c r="A660" s="26">
        <v>44662</v>
      </c>
      <c r="B660" s="2" t="s">
        <v>671</v>
      </c>
      <c r="C660" s="41" t="s">
        <v>84</v>
      </c>
      <c r="D660" s="13" t="s">
        <v>593</v>
      </c>
      <c r="E660" s="45"/>
      <c r="F660" s="44" t="s">
        <v>593</v>
      </c>
    </row>
    <row r="661" spans="1:6" x14ac:dyDescent="0.35">
      <c r="A661" s="26">
        <v>44663</v>
      </c>
      <c r="B661" s="2" t="s">
        <v>692</v>
      </c>
      <c r="C661" s="41" t="s">
        <v>594</v>
      </c>
      <c r="D661" s="17" t="s">
        <v>770</v>
      </c>
      <c r="E661" s="45">
        <v>1469</v>
      </c>
      <c r="F661" s="44" t="s">
        <v>593</v>
      </c>
    </row>
    <row r="662" spans="1:6" x14ac:dyDescent="0.35">
      <c r="A662" s="27">
        <v>44664</v>
      </c>
      <c r="B662" s="2" t="s">
        <v>693</v>
      </c>
      <c r="C662" s="22" t="s">
        <v>164</v>
      </c>
      <c r="D662" s="16" t="s">
        <v>771</v>
      </c>
      <c r="E662" s="45">
        <v>1483.6</v>
      </c>
      <c r="F662" s="44" t="s">
        <v>593</v>
      </c>
    </row>
    <row r="663" spans="1:6" x14ac:dyDescent="0.35">
      <c r="A663" s="27">
        <v>44665</v>
      </c>
      <c r="B663" s="2" t="s">
        <v>694</v>
      </c>
      <c r="C663" s="41" t="s">
        <v>84</v>
      </c>
      <c r="D663" s="13" t="s">
        <v>593</v>
      </c>
      <c r="E663" s="45"/>
      <c r="F663" s="44" t="s">
        <v>593</v>
      </c>
    </row>
    <row r="664" spans="1:6" x14ac:dyDescent="0.35">
      <c r="A664" s="26">
        <v>44665</v>
      </c>
      <c r="B664" s="2" t="s">
        <v>695</v>
      </c>
      <c r="C664" s="41" t="s">
        <v>84</v>
      </c>
      <c r="D664" s="16" t="s">
        <v>772</v>
      </c>
      <c r="E664" s="45"/>
      <c r="F664" s="44" t="s">
        <v>593</v>
      </c>
    </row>
    <row r="665" spans="1:6" x14ac:dyDescent="0.35">
      <c r="A665" s="26">
        <v>44669</v>
      </c>
      <c r="B665" s="2" t="s">
        <v>671</v>
      </c>
      <c r="C665" s="41" t="s">
        <v>84</v>
      </c>
      <c r="D665" s="13" t="s">
        <v>593</v>
      </c>
      <c r="E665" s="45"/>
      <c r="F665" s="44" t="s">
        <v>593</v>
      </c>
    </row>
    <row r="666" spans="1:6" x14ac:dyDescent="0.35">
      <c r="A666" s="27">
        <v>44670</v>
      </c>
      <c r="B666" s="2" t="s">
        <v>696</v>
      </c>
      <c r="C666" s="41" t="s">
        <v>84</v>
      </c>
      <c r="D666" s="13" t="s">
        <v>593</v>
      </c>
      <c r="E666" s="45"/>
      <c r="F666" s="44" t="s">
        <v>593</v>
      </c>
    </row>
    <row r="667" spans="1:6" x14ac:dyDescent="0.35">
      <c r="A667" s="26">
        <v>44671</v>
      </c>
      <c r="B667" s="2" t="s">
        <v>697</v>
      </c>
      <c r="C667" s="41" t="s">
        <v>84</v>
      </c>
      <c r="D667" s="16" t="s">
        <v>773</v>
      </c>
      <c r="E667" s="45">
        <v>76.36</v>
      </c>
      <c r="F667" s="44" t="s">
        <v>593</v>
      </c>
    </row>
    <row r="668" spans="1:6" x14ac:dyDescent="0.35">
      <c r="A668" s="26">
        <v>44672</v>
      </c>
      <c r="B668" s="2" t="s">
        <v>683</v>
      </c>
      <c r="C668" s="41" t="s">
        <v>84</v>
      </c>
      <c r="D668" s="16" t="s">
        <v>764</v>
      </c>
      <c r="E668" s="45"/>
      <c r="F668" s="44" t="s">
        <v>593</v>
      </c>
    </row>
    <row r="669" spans="1:6" x14ac:dyDescent="0.35">
      <c r="A669" s="26">
        <v>44676</v>
      </c>
      <c r="B669" s="2" t="s">
        <v>671</v>
      </c>
      <c r="C669" s="41" t="s">
        <v>84</v>
      </c>
      <c r="D669" s="13" t="s">
        <v>593</v>
      </c>
      <c r="E669" s="45"/>
      <c r="F669" s="44" t="s">
        <v>593</v>
      </c>
    </row>
    <row r="670" spans="1:6" x14ac:dyDescent="0.35">
      <c r="A670" s="26">
        <v>44679</v>
      </c>
      <c r="B670" s="2" t="s">
        <v>676</v>
      </c>
      <c r="C670" s="41" t="s">
        <v>84</v>
      </c>
      <c r="D670" s="17" t="s">
        <v>600</v>
      </c>
      <c r="E670" s="45"/>
      <c r="F670" s="44" t="s">
        <v>593</v>
      </c>
    </row>
    <row r="671" spans="1:6" x14ac:dyDescent="0.35">
      <c r="A671" s="26">
        <v>44690</v>
      </c>
      <c r="B671" s="2" t="s">
        <v>671</v>
      </c>
      <c r="C671" s="41" t="s">
        <v>84</v>
      </c>
      <c r="D671" s="13" t="s">
        <v>593</v>
      </c>
      <c r="E671" s="45"/>
      <c r="F671" s="44" t="s">
        <v>593</v>
      </c>
    </row>
    <row r="672" spans="1:6" x14ac:dyDescent="0.35">
      <c r="A672" s="26">
        <v>44698</v>
      </c>
      <c r="B672" s="2" t="s">
        <v>635</v>
      </c>
      <c r="C672" s="41" t="s">
        <v>84</v>
      </c>
      <c r="D672" s="16" t="s">
        <v>774</v>
      </c>
      <c r="E672" s="45">
        <v>125.4</v>
      </c>
      <c r="F672" s="44" t="s">
        <v>593</v>
      </c>
    </row>
    <row r="673" spans="1:6" x14ac:dyDescent="0.35">
      <c r="A673" s="26">
        <v>44700</v>
      </c>
      <c r="B673" s="2" t="s">
        <v>683</v>
      </c>
      <c r="C673" s="41" t="s">
        <v>84</v>
      </c>
      <c r="D673" s="16" t="s">
        <v>764</v>
      </c>
      <c r="E673" s="45"/>
      <c r="F673" s="44" t="s">
        <v>593</v>
      </c>
    </row>
    <row r="674" spans="1:6" x14ac:dyDescent="0.35">
      <c r="A674" s="26">
        <v>44701</v>
      </c>
      <c r="B674" s="2" t="s">
        <v>532</v>
      </c>
      <c r="C674" s="41" t="s">
        <v>84</v>
      </c>
      <c r="D674" s="17" t="s">
        <v>768</v>
      </c>
      <c r="E674" s="45">
        <v>125.4</v>
      </c>
      <c r="F674" s="44" t="s">
        <v>593</v>
      </c>
    </row>
    <row r="675" spans="1:6" x14ac:dyDescent="0.35">
      <c r="A675" s="26">
        <v>44704</v>
      </c>
      <c r="B675" s="2" t="s">
        <v>671</v>
      </c>
      <c r="C675" s="41" t="s">
        <v>84</v>
      </c>
      <c r="D675" s="13" t="s">
        <v>593</v>
      </c>
      <c r="E675" s="45"/>
      <c r="F675" s="44" t="s">
        <v>593</v>
      </c>
    </row>
    <row r="676" spans="1:6" x14ac:dyDescent="0.35">
      <c r="A676" s="27">
        <v>44705</v>
      </c>
      <c r="B676" s="2" t="s">
        <v>698</v>
      </c>
      <c r="C676" s="41" t="s">
        <v>84</v>
      </c>
      <c r="D676" s="13" t="s">
        <v>593</v>
      </c>
      <c r="E676" s="45"/>
      <c r="F676" s="44" t="s">
        <v>593</v>
      </c>
    </row>
    <row r="677" spans="1:6" x14ac:dyDescent="0.35">
      <c r="A677" s="26">
        <v>44706</v>
      </c>
      <c r="B677" s="2" t="s">
        <v>676</v>
      </c>
      <c r="C677" s="41" t="s">
        <v>84</v>
      </c>
      <c r="D677" s="17" t="s">
        <v>600</v>
      </c>
      <c r="E677" s="45"/>
      <c r="F677" s="44" t="s">
        <v>593</v>
      </c>
    </row>
    <row r="678" spans="1:6" x14ac:dyDescent="0.35">
      <c r="A678" s="26">
        <v>44718</v>
      </c>
      <c r="B678" s="2" t="s">
        <v>671</v>
      </c>
      <c r="C678" s="41" t="s">
        <v>84</v>
      </c>
      <c r="D678" s="13" t="s">
        <v>593</v>
      </c>
      <c r="E678" s="45"/>
      <c r="F678" s="44" t="s">
        <v>593</v>
      </c>
    </row>
    <row r="679" spans="1:6" x14ac:dyDescent="0.35">
      <c r="A679" s="26">
        <v>44719</v>
      </c>
      <c r="B679" s="2" t="s">
        <v>699</v>
      </c>
      <c r="C679" s="41" t="s">
        <v>594</v>
      </c>
      <c r="D679" s="17" t="s">
        <v>775</v>
      </c>
      <c r="E679" s="45">
        <v>1250.8</v>
      </c>
      <c r="F679" s="44" t="s">
        <v>593</v>
      </c>
    </row>
    <row r="680" spans="1:6" x14ac:dyDescent="0.35">
      <c r="A680" s="27">
        <v>44720</v>
      </c>
      <c r="B680" s="2" t="s">
        <v>700</v>
      </c>
      <c r="C680" s="41" t="s">
        <v>84</v>
      </c>
      <c r="D680" s="13" t="s">
        <v>593</v>
      </c>
      <c r="E680" s="45"/>
      <c r="F680" s="44" t="s">
        <v>593</v>
      </c>
    </row>
    <row r="681" spans="1:6" x14ac:dyDescent="0.35">
      <c r="A681" s="27">
        <v>44721</v>
      </c>
      <c r="B681" s="2" t="s">
        <v>701</v>
      </c>
      <c r="C681" s="41" t="s">
        <v>594</v>
      </c>
      <c r="D681" s="16" t="s">
        <v>776</v>
      </c>
      <c r="E681" s="45">
        <v>4750.3999999999996</v>
      </c>
      <c r="F681" s="44" t="s">
        <v>593</v>
      </c>
    </row>
    <row r="682" spans="1:6" x14ac:dyDescent="0.35">
      <c r="A682" s="27">
        <v>44726</v>
      </c>
      <c r="B682" s="2" t="s">
        <v>702</v>
      </c>
      <c r="C682" s="41" t="s">
        <v>84</v>
      </c>
      <c r="D682" s="13" t="s">
        <v>593</v>
      </c>
      <c r="E682" s="45"/>
      <c r="F682" s="44" t="s">
        <v>593</v>
      </c>
    </row>
    <row r="683" spans="1:6" x14ac:dyDescent="0.35">
      <c r="A683" s="26">
        <v>44732</v>
      </c>
      <c r="B683" s="2" t="s">
        <v>671</v>
      </c>
      <c r="C683" s="41" t="s">
        <v>84</v>
      </c>
      <c r="D683" s="13" t="s">
        <v>593</v>
      </c>
      <c r="E683" s="45"/>
      <c r="F683" s="44" t="s">
        <v>593</v>
      </c>
    </row>
    <row r="684" spans="1:6" x14ac:dyDescent="0.35">
      <c r="A684" s="27">
        <v>44733</v>
      </c>
      <c r="B684" s="2" t="s">
        <v>684</v>
      </c>
      <c r="C684" s="41" t="s">
        <v>84</v>
      </c>
      <c r="D684" s="16" t="s">
        <v>601</v>
      </c>
      <c r="E684" s="45">
        <v>1125.4000000000001</v>
      </c>
      <c r="F684" s="44" t="s">
        <v>593</v>
      </c>
    </row>
    <row r="685" spans="1:6" x14ac:dyDescent="0.35">
      <c r="A685" s="27">
        <v>44734</v>
      </c>
      <c r="B685" s="2" t="s">
        <v>703</v>
      </c>
      <c r="C685" s="41" t="s">
        <v>84</v>
      </c>
      <c r="D685" s="16" t="s">
        <v>777</v>
      </c>
      <c r="E685" s="45">
        <v>4125.3999999999996</v>
      </c>
      <c r="F685" s="44" t="s">
        <v>593</v>
      </c>
    </row>
    <row r="686" spans="1:6" x14ac:dyDescent="0.35">
      <c r="A686" s="27">
        <v>44736</v>
      </c>
      <c r="B686" s="2" t="s">
        <v>704</v>
      </c>
      <c r="C686" s="22" t="s">
        <v>164</v>
      </c>
      <c r="D686" s="16" t="s">
        <v>778</v>
      </c>
      <c r="E686" s="45">
        <v>4250.8</v>
      </c>
      <c r="F686" s="44" t="s">
        <v>593</v>
      </c>
    </row>
    <row r="687" spans="1:6" x14ac:dyDescent="0.35">
      <c r="A687" s="26">
        <v>44739</v>
      </c>
      <c r="B687" s="2" t="s">
        <v>671</v>
      </c>
      <c r="C687" s="41" t="s">
        <v>84</v>
      </c>
      <c r="D687" s="13" t="s">
        <v>593</v>
      </c>
      <c r="E687" s="45"/>
      <c r="F687" s="44" t="s">
        <v>593</v>
      </c>
    </row>
    <row r="688" spans="1:6" x14ac:dyDescent="0.35">
      <c r="A688" s="27">
        <v>44740</v>
      </c>
      <c r="B688" s="2" t="s">
        <v>705</v>
      </c>
      <c r="C688" s="41" t="s">
        <v>84</v>
      </c>
      <c r="D688" s="13" t="s">
        <v>593</v>
      </c>
      <c r="E688" s="45"/>
      <c r="F688" s="44" t="s">
        <v>593</v>
      </c>
    </row>
    <row r="689" spans="1:6" x14ac:dyDescent="0.35">
      <c r="A689" s="26">
        <v>44741</v>
      </c>
      <c r="B689" s="2" t="s">
        <v>676</v>
      </c>
      <c r="C689" s="41" t="s">
        <v>84</v>
      </c>
      <c r="D689" s="17" t="s">
        <v>600</v>
      </c>
      <c r="E689" s="45"/>
      <c r="F689" s="44" t="s">
        <v>593</v>
      </c>
    </row>
    <row r="690" spans="1:6" x14ac:dyDescent="0.35">
      <c r="A690" s="27">
        <v>44742</v>
      </c>
      <c r="B690" s="2" t="s">
        <v>706</v>
      </c>
      <c r="C690" s="41" t="s">
        <v>84</v>
      </c>
      <c r="D690" s="13" t="s">
        <v>593</v>
      </c>
      <c r="E690" s="45"/>
      <c r="F690" s="44" t="s">
        <v>593</v>
      </c>
    </row>
    <row r="691" spans="1:6" x14ac:dyDescent="0.35">
      <c r="A691" s="26">
        <v>44746</v>
      </c>
      <c r="B691" s="2" t="s">
        <v>671</v>
      </c>
      <c r="C691" s="41" t="s">
        <v>84</v>
      </c>
      <c r="D691" s="13" t="s">
        <v>593</v>
      </c>
      <c r="E691" s="45"/>
      <c r="F691" s="44" t="s">
        <v>593</v>
      </c>
    </row>
    <row r="692" spans="1:6" x14ac:dyDescent="0.35">
      <c r="A692" s="27">
        <v>44747</v>
      </c>
      <c r="B692" s="2" t="s">
        <v>690</v>
      </c>
      <c r="C692" s="41" t="s">
        <v>84</v>
      </c>
      <c r="D692" s="16" t="s">
        <v>606</v>
      </c>
      <c r="E692" s="45"/>
      <c r="F692" s="44" t="s">
        <v>593</v>
      </c>
    </row>
    <row r="693" spans="1:6" x14ac:dyDescent="0.35">
      <c r="A693" s="26">
        <v>44753</v>
      </c>
      <c r="B693" s="2" t="s">
        <v>671</v>
      </c>
      <c r="C693" s="41" t="s">
        <v>84</v>
      </c>
      <c r="D693" s="13" t="s">
        <v>593</v>
      </c>
      <c r="E693" s="45"/>
      <c r="F693" s="44" t="s">
        <v>593</v>
      </c>
    </row>
    <row r="694" spans="1:6" x14ac:dyDescent="0.35">
      <c r="A694" s="26">
        <v>44809</v>
      </c>
      <c r="B694" s="2" t="s">
        <v>671</v>
      </c>
      <c r="C694" s="41" t="s">
        <v>84</v>
      </c>
      <c r="D694" s="13" t="s">
        <v>593</v>
      </c>
      <c r="E694" s="45"/>
      <c r="F694" s="44" t="s">
        <v>593</v>
      </c>
    </row>
    <row r="695" spans="1:6" x14ac:dyDescent="0.35">
      <c r="A695" s="26">
        <v>44816</v>
      </c>
      <c r="B695" s="2" t="s">
        <v>671</v>
      </c>
      <c r="C695" s="41" t="s">
        <v>84</v>
      </c>
      <c r="D695" s="13" t="s">
        <v>593</v>
      </c>
      <c r="E695" s="45"/>
      <c r="F695" s="44" t="s">
        <v>593</v>
      </c>
    </row>
    <row r="696" spans="1:6" x14ac:dyDescent="0.35">
      <c r="A696" s="27">
        <v>44817</v>
      </c>
      <c r="B696" s="2" t="s">
        <v>690</v>
      </c>
      <c r="C696" s="41" t="s">
        <v>84</v>
      </c>
      <c r="D696" s="16" t="s">
        <v>606</v>
      </c>
      <c r="E696" s="45"/>
      <c r="F696" s="44" t="s">
        <v>593</v>
      </c>
    </row>
    <row r="697" spans="1:6" x14ac:dyDescent="0.35">
      <c r="A697" s="26">
        <v>44819</v>
      </c>
      <c r="B697" s="2" t="s">
        <v>683</v>
      </c>
      <c r="C697" s="41" t="s">
        <v>84</v>
      </c>
      <c r="D697" s="16" t="s">
        <v>764</v>
      </c>
      <c r="E697" s="45"/>
      <c r="F697" s="44" t="s">
        <v>593</v>
      </c>
    </row>
    <row r="698" spans="1:6" x14ac:dyDescent="0.35">
      <c r="A698" s="26">
        <v>44823</v>
      </c>
      <c r="B698" s="2" t="s">
        <v>671</v>
      </c>
      <c r="C698" s="41" t="s">
        <v>84</v>
      </c>
      <c r="D698" s="13" t="s">
        <v>593</v>
      </c>
      <c r="E698" s="45"/>
      <c r="F698" s="44" t="s">
        <v>593</v>
      </c>
    </row>
    <row r="699" spans="1:6" x14ac:dyDescent="0.35">
      <c r="A699" s="27">
        <v>44824</v>
      </c>
      <c r="B699" s="2" t="s">
        <v>707</v>
      </c>
      <c r="C699" s="41" t="s">
        <v>594</v>
      </c>
      <c r="D699" s="16" t="s">
        <v>779</v>
      </c>
      <c r="E699" s="45">
        <v>125.4</v>
      </c>
      <c r="F699" s="44" t="s">
        <v>593</v>
      </c>
    </row>
    <row r="700" spans="1:6" x14ac:dyDescent="0.35">
      <c r="A700" s="26">
        <v>44830</v>
      </c>
      <c r="B700" s="2" t="s">
        <v>671</v>
      </c>
      <c r="C700" s="41" t="s">
        <v>84</v>
      </c>
      <c r="D700" s="13" t="s">
        <v>593</v>
      </c>
      <c r="E700" s="45"/>
      <c r="F700" s="44" t="s">
        <v>593</v>
      </c>
    </row>
    <row r="701" spans="1:6" x14ac:dyDescent="0.35">
      <c r="A701" s="27">
        <v>44833</v>
      </c>
      <c r="B701" s="2" t="s">
        <v>708</v>
      </c>
      <c r="C701" s="41" t="s">
        <v>594</v>
      </c>
      <c r="D701" s="16" t="s">
        <v>780</v>
      </c>
      <c r="E701" s="45">
        <v>900</v>
      </c>
      <c r="F701" s="44" t="s">
        <v>593</v>
      </c>
    </row>
    <row r="702" spans="1:6" x14ac:dyDescent="0.35">
      <c r="A702" s="26">
        <v>44837</v>
      </c>
      <c r="B702" s="2" t="s">
        <v>671</v>
      </c>
      <c r="C702" s="41" t="s">
        <v>84</v>
      </c>
      <c r="D702" s="13" t="s">
        <v>593</v>
      </c>
      <c r="E702" s="45"/>
      <c r="F702" s="44" t="s">
        <v>593</v>
      </c>
    </row>
    <row r="703" spans="1:6" x14ac:dyDescent="0.35">
      <c r="A703" s="27">
        <v>44840</v>
      </c>
      <c r="B703" s="2" t="s">
        <v>709</v>
      </c>
      <c r="C703" s="41" t="s">
        <v>84</v>
      </c>
      <c r="D703" s="16" t="s">
        <v>781</v>
      </c>
      <c r="E703" s="45">
        <v>250.8</v>
      </c>
      <c r="F703" s="44" t="s">
        <v>593</v>
      </c>
    </row>
    <row r="704" spans="1:6" x14ac:dyDescent="0.35">
      <c r="A704" s="27">
        <v>44841</v>
      </c>
      <c r="B704" s="2" t="s">
        <v>710</v>
      </c>
      <c r="C704" s="41" t="s">
        <v>84</v>
      </c>
      <c r="D704" s="16" t="s">
        <v>782</v>
      </c>
      <c r="E704" s="45">
        <v>501.6</v>
      </c>
      <c r="F704" s="44" t="s">
        <v>593</v>
      </c>
    </row>
    <row r="705" spans="1:6" x14ac:dyDescent="0.35">
      <c r="A705" s="26">
        <v>44844</v>
      </c>
      <c r="B705" s="2" t="s">
        <v>671</v>
      </c>
      <c r="C705" s="41" t="s">
        <v>84</v>
      </c>
      <c r="D705" s="13" t="s">
        <v>593</v>
      </c>
      <c r="E705" s="45"/>
      <c r="F705" s="44" t="s">
        <v>593</v>
      </c>
    </row>
    <row r="706" spans="1:6" x14ac:dyDescent="0.35">
      <c r="A706" s="26">
        <v>44854</v>
      </c>
      <c r="B706" s="2" t="s">
        <v>683</v>
      </c>
      <c r="C706" s="41" t="s">
        <v>84</v>
      </c>
      <c r="D706" s="16" t="s">
        <v>764</v>
      </c>
      <c r="E706" s="45"/>
      <c r="F706" s="44" t="s">
        <v>593</v>
      </c>
    </row>
    <row r="707" spans="1:6" x14ac:dyDescent="0.35">
      <c r="A707" s="26">
        <v>44858</v>
      </c>
      <c r="B707" s="2" t="s">
        <v>671</v>
      </c>
      <c r="C707" s="41" t="s">
        <v>84</v>
      </c>
      <c r="D707" s="13" t="s">
        <v>593</v>
      </c>
      <c r="E707" s="45"/>
      <c r="F707" s="44" t="s">
        <v>593</v>
      </c>
    </row>
    <row r="708" spans="1:6" x14ac:dyDescent="0.35">
      <c r="A708" s="26">
        <v>44865</v>
      </c>
      <c r="B708" s="2" t="s">
        <v>671</v>
      </c>
      <c r="C708" s="41" t="s">
        <v>84</v>
      </c>
      <c r="D708" s="13" t="s">
        <v>593</v>
      </c>
      <c r="E708" s="45"/>
      <c r="F708" s="44" t="s">
        <v>593</v>
      </c>
    </row>
    <row r="709" spans="1:6" x14ac:dyDescent="0.35">
      <c r="A709" s="26">
        <v>44872</v>
      </c>
      <c r="B709" s="2" t="s">
        <v>671</v>
      </c>
      <c r="C709" s="41" t="s">
        <v>84</v>
      </c>
      <c r="D709" s="17" t="s">
        <v>606</v>
      </c>
      <c r="E709" s="45"/>
      <c r="F709" s="44" t="s">
        <v>593</v>
      </c>
    </row>
    <row r="710" spans="1:6" x14ac:dyDescent="0.35">
      <c r="A710" s="27">
        <v>44873</v>
      </c>
      <c r="B710" s="2" t="s">
        <v>690</v>
      </c>
      <c r="C710" s="41" t="s">
        <v>84</v>
      </c>
      <c r="D710" s="13" t="s">
        <v>593</v>
      </c>
      <c r="E710" s="45"/>
      <c r="F710" s="44" t="s">
        <v>593</v>
      </c>
    </row>
    <row r="711" spans="1:6" x14ac:dyDescent="0.35">
      <c r="A711" s="26">
        <v>44879</v>
      </c>
      <c r="B711" s="2" t="s">
        <v>671</v>
      </c>
      <c r="C711" s="41" t="s">
        <v>84</v>
      </c>
      <c r="D711" s="17" t="s">
        <v>606</v>
      </c>
      <c r="E711" s="45"/>
      <c r="F711" s="44" t="s">
        <v>593</v>
      </c>
    </row>
    <row r="712" spans="1:6" x14ac:dyDescent="0.35">
      <c r="A712" s="27">
        <v>44880</v>
      </c>
      <c r="B712" s="2" t="s">
        <v>711</v>
      </c>
      <c r="C712" s="41" t="s">
        <v>84</v>
      </c>
      <c r="D712" s="13" t="s">
        <v>593</v>
      </c>
      <c r="E712" s="45"/>
      <c r="F712" s="44" t="s">
        <v>593</v>
      </c>
    </row>
    <row r="713" spans="1:6" x14ac:dyDescent="0.35">
      <c r="A713" s="27">
        <v>44881</v>
      </c>
      <c r="B713" s="2" t="s">
        <v>712</v>
      </c>
      <c r="C713" s="41" t="s">
        <v>84</v>
      </c>
      <c r="D713" s="13" t="s">
        <v>593</v>
      </c>
      <c r="E713" s="46">
        <v>114</v>
      </c>
      <c r="F713" s="44" t="s">
        <v>593</v>
      </c>
    </row>
    <row r="714" spans="1:6" x14ac:dyDescent="0.35">
      <c r="A714" s="27">
        <v>44882</v>
      </c>
      <c r="B714" s="2" t="s">
        <v>713</v>
      </c>
      <c r="C714" s="41" t="s">
        <v>84</v>
      </c>
      <c r="D714" s="13" t="s">
        <v>593</v>
      </c>
      <c r="E714" s="45"/>
      <c r="F714" s="44" t="s">
        <v>593</v>
      </c>
    </row>
    <row r="715" spans="1:6" x14ac:dyDescent="0.35">
      <c r="A715" s="27">
        <v>44882</v>
      </c>
      <c r="B715" s="2" t="s">
        <v>683</v>
      </c>
      <c r="C715" s="41" t="s">
        <v>84</v>
      </c>
      <c r="D715" s="13" t="s">
        <v>593</v>
      </c>
      <c r="E715" s="45"/>
      <c r="F715" s="44" t="s">
        <v>593</v>
      </c>
    </row>
    <row r="716" spans="1:6" x14ac:dyDescent="0.35">
      <c r="A716" s="27">
        <v>44882</v>
      </c>
      <c r="B716" s="2" t="s">
        <v>714</v>
      </c>
      <c r="C716" s="41" t="s">
        <v>84</v>
      </c>
      <c r="D716" s="13" t="s">
        <v>593</v>
      </c>
      <c r="E716" s="45"/>
      <c r="F716" s="44" t="s">
        <v>593</v>
      </c>
    </row>
    <row r="717" spans="1:6" x14ac:dyDescent="0.35">
      <c r="A717" s="27">
        <v>44886</v>
      </c>
      <c r="B717" s="2" t="s">
        <v>716</v>
      </c>
      <c r="C717" s="41" t="s">
        <v>84</v>
      </c>
      <c r="D717" s="13" t="s">
        <v>593</v>
      </c>
      <c r="E717" s="45">
        <v>164.56</v>
      </c>
      <c r="F717" s="44" t="s">
        <v>593</v>
      </c>
    </row>
    <row r="718" spans="1:6" x14ac:dyDescent="0.35">
      <c r="A718" s="26">
        <v>44886</v>
      </c>
      <c r="B718" s="2" t="s">
        <v>715</v>
      </c>
      <c r="C718" s="41" t="s">
        <v>84</v>
      </c>
      <c r="D718" s="13" t="s">
        <v>593</v>
      </c>
      <c r="E718" s="45"/>
      <c r="F718" s="44" t="s">
        <v>593</v>
      </c>
    </row>
    <row r="719" spans="1:6" x14ac:dyDescent="0.35">
      <c r="A719" s="27">
        <v>44887</v>
      </c>
      <c r="B719" s="2" t="s">
        <v>717</v>
      </c>
      <c r="C719" s="41" t="s">
        <v>84</v>
      </c>
      <c r="D719" s="13" t="s">
        <v>593</v>
      </c>
      <c r="E719" s="46">
        <v>250.8</v>
      </c>
      <c r="F719" s="44" t="s">
        <v>593</v>
      </c>
    </row>
    <row r="720" spans="1:6" x14ac:dyDescent="0.35">
      <c r="A720" s="27">
        <v>44887</v>
      </c>
      <c r="B720" s="2" t="s">
        <v>718</v>
      </c>
      <c r="C720" s="41" t="s">
        <v>84</v>
      </c>
      <c r="D720" s="13" t="s">
        <v>593</v>
      </c>
      <c r="E720" s="45"/>
      <c r="F720" s="44" t="s">
        <v>593</v>
      </c>
    </row>
    <row r="721" spans="1:6" x14ac:dyDescent="0.35">
      <c r="A721" s="27">
        <v>44888</v>
      </c>
      <c r="B721" s="2" t="s">
        <v>719</v>
      </c>
      <c r="C721" s="41" t="s">
        <v>594</v>
      </c>
      <c r="D721" s="13" t="s">
        <v>593</v>
      </c>
      <c r="E721" s="46">
        <v>1983.6</v>
      </c>
      <c r="F721" s="44" t="s">
        <v>593</v>
      </c>
    </row>
    <row r="722" spans="1:6" x14ac:dyDescent="0.35">
      <c r="A722" s="27">
        <v>44888</v>
      </c>
      <c r="B722" s="2" t="s">
        <v>720</v>
      </c>
      <c r="C722" s="41" t="s">
        <v>84</v>
      </c>
      <c r="D722" s="13" t="s">
        <v>593</v>
      </c>
      <c r="E722" s="45"/>
      <c r="F722" s="44" t="s">
        <v>593</v>
      </c>
    </row>
    <row r="723" spans="1:6" x14ac:dyDescent="0.35">
      <c r="A723" s="27">
        <v>44888</v>
      </c>
      <c r="B723" s="2" t="s">
        <v>721</v>
      </c>
      <c r="C723" s="41" t="s">
        <v>84</v>
      </c>
      <c r="D723" s="13" t="s">
        <v>593</v>
      </c>
      <c r="E723" s="45"/>
      <c r="F723" s="44" t="s">
        <v>593</v>
      </c>
    </row>
    <row r="724" spans="1:6" x14ac:dyDescent="0.35">
      <c r="A724" s="27">
        <v>44889</v>
      </c>
      <c r="B724" s="2" t="s">
        <v>722</v>
      </c>
      <c r="C724" s="41" t="s">
        <v>84</v>
      </c>
      <c r="D724" s="42" t="s">
        <v>783</v>
      </c>
      <c r="E724" s="45">
        <v>250.8</v>
      </c>
      <c r="F724" s="44" t="s">
        <v>593</v>
      </c>
    </row>
    <row r="725" spans="1:6" x14ac:dyDescent="0.35">
      <c r="A725" s="27">
        <v>44893</v>
      </c>
      <c r="B725" s="2" t="s">
        <v>723</v>
      </c>
      <c r="C725" s="41" t="s">
        <v>84</v>
      </c>
      <c r="D725" s="13" t="s">
        <v>593</v>
      </c>
      <c r="E725" s="45"/>
      <c r="F725" s="44" t="s">
        <v>593</v>
      </c>
    </row>
    <row r="726" spans="1:6" x14ac:dyDescent="0.35">
      <c r="A726" s="26">
        <v>44893</v>
      </c>
      <c r="B726" s="2" t="s">
        <v>671</v>
      </c>
      <c r="C726" s="41" t="s">
        <v>84</v>
      </c>
      <c r="D726" s="17" t="s">
        <v>606</v>
      </c>
      <c r="E726" s="45"/>
      <c r="F726" s="44" t="s">
        <v>593</v>
      </c>
    </row>
    <row r="727" spans="1:6" x14ac:dyDescent="0.35">
      <c r="A727" s="27">
        <v>44894</v>
      </c>
      <c r="B727" s="2" t="s">
        <v>724</v>
      </c>
      <c r="C727" s="41" t="s">
        <v>84</v>
      </c>
      <c r="D727" s="13" t="s">
        <v>593</v>
      </c>
      <c r="E727" s="45"/>
      <c r="F727" s="44" t="s">
        <v>593</v>
      </c>
    </row>
    <row r="728" spans="1:6" x14ac:dyDescent="0.35">
      <c r="A728" s="27">
        <v>44895</v>
      </c>
      <c r="B728" s="2" t="s">
        <v>725</v>
      </c>
      <c r="C728" s="41" t="s">
        <v>84</v>
      </c>
      <c r="D728" s="13" t="s">
        <v>593</v>
      </c>
      <c r="E728" s="46">
        <v>125.4</v>
      </c>
      <c r="F728" s="44" t="s">
        <v>593</v>
      </c>
    </row>
    <row r="729" spans="1:6" x14ac:dyDescent="0.35">
      <c r="A729" s="27">
        <v>44897</v>
      </c>
      <c r="B729" s="2" t="s">
        <v>727</v>
      </c>
      <c r="C729" s="41" t="s">
        <v>84</v>
      </c>
      <c r="D729" s="13" t="s">
        <v>593</v>
      </c>
      <c r="E729" s="46">
        <v>125.4</v>
      </c>
      <c r="F729" s="44" t="s">
        <v>593</v>
      </c>
    </row>
    <row r="730" spans="1:6" x14ac:dyDescent="0.35">
      <c r="A730" s="27">
        <v>44900</v>
      </c>
      <c r="B730" s="2" t="s">
        <v>671</v>
      </c>
      <c r="C730" s="41" t="s">
        <v>84</v>
      </c>
      <c r="D730" s="17" t="s">
        <v>606</v>
      </c>
      <c r="E730" s="45"/>
      <c r="F730" s="44" t="s">
        <v>593</v>
      </c>
    </row>
    <row r="731" spans="1:6" x14ac:dyDescent="0.35">
      <c r="A731" s="26">
        <v>44900</v>
      </c>
      <c r="B731" s="2" t="s">
        <v>728</v>
      </c>
      <c r="C731" s="41" t="s">
        <v>84</v>
      </c>
      <c r="D731" s="13" t="s">
        <v>593</v>
      </c>
      <c r="E731" s="45"/>
      <c r="F731" s="44" t="s">
        <v>593</v>
      </c>
    </row>
    <row r="732" spans="1:6" x14ac:dyDescent="0.35">
      <c r="A732" s="27">
        <v>44901</v>
      </c>
      <c r="B732" s="2" t="s">
        <v>729</v>
      </c>
      <c r="C732" s="41" t="s">
        <v>84</v>
      </c>
      <c r="D732" s="13" t="s">
        <v>593</v>
      </c>
      <c r="E732" s="45"/>
      <c r="F732" s="44" t="s">
        <v>593</v>
      </c>
    </row>
    <row r="733" spans="1:6" x14ac:dyDescent="0.35">
      <c r="A733" s="27">
        <v>44901</v>
      </c>
      <c r="B733" s="2" t="s">
        <v>730</v>
      </c>
      <c r="C733" s="41" t="s">
        <v>84</v>
      </c>
      <c r="D733" s="13" t="s">
        <v>593</v>
      </c>
      <c r="E733" s="45"/>
      <c r="F733" s="44" t="s">
        <v>593</v>
      </c>
    </row>
    <row r="734" spans="1:6" x14ac:dyDescent="0.35">
      <c r="A734" s="27">
        <v>44902</v>
      </c>
      <c r="B734" s="2" t="s">
        <v>731</v>
      </c>
      <c r="C734" s="41" t="s">
        <v>84</v>
      </c>
      <c r="D734" s="13" t="s">
        <v>593</v>
      </c>
      <c r="E734" s="45"/>
      <c r="F734" s="44" t="s">
        <v>593</v>
      </c>
    </row>
    <row r="735" spans="1:6" x14ac:dyDescent="0.35">
      <c r="A735" s="27">
        <v>44904</v>
      </c>
      <c r="B735" s="2" t="s">
        <v>729</v>
      </c>
      <c r="C735" s="41" t="s">
        <v>84</v>
      </c>
      <c r="D735" s="13" t="s">
        <v>593</v>
      </c>
      <c r="E735" s="45"/>
      <c r="F735" s="44" t="s">
        <v>593</v>
      </c>
    </row>
    <row r="736" spans="1:6" x14ac:dyDescent="0.35">
      <c r="A736" s="27">
        <v>44904</v>
      </c>
      <c r="B736" s="2" t="s">
        <v>732</v>
      </c>
      <c r="C736" s="41" t="s">
        <v>84</v>
      </c>
      <c r="D736" s="13" t="s">
        <v>593</v>
      </c>
      <c r="E736" s="45"/>
      <c r="F736" s="44" t="s">
        <v>593</v>
      </c>
    </row>
    <row r="737" spans="1:6" x14ac:dyDescent="0.35">
      <c r="A737" s="27">
        <v>44904</v>
      </c>
      <c r="B737" s="2" t="s">
        <v>733</v>
      </c>
      <c r="C737" s="41" t="s">
        <v>84</v>
      </c>
      <c r="D737" s="13" t="s">
        <v>593</v>
      </c>
      <c r="E737" s="45"/>
      <c r="F737" s="44" t="s">
        <v>593</v>
      </c>
    </row>
    <row r="738" spans="1:6" x14ac:dyDescent="0.35">
      <c r="A738" s="27">
        <v>44907</v>
      </c>
      <c r="B738" s="2" t="s">
        <v>671</v>
      </c>
      <c r="C738" s="41" t="s">
        <v>84</v>
      </c>
      <c r="D738" s="17" t="s">
        <v>606</v>
      </c>
      <c r="E738" s="45"/>
      <c r="F738" s="44" t="s">
        <v>593</v>
      </c>
    </row>
    <row r="739" spans="1:6" x14ac:dyDescent="0.35">
      <c r="A739" s="26">
        <v>44908</v>
      </c>
      <c r="B739" s="2" t="s">
        <v>734</v>
      </c>
      <c r="C739" s="41" t="s">
        <v>84</v>
      </c>
      <c r="D739" s="13" t="s">
        <v>593</v>
      </c>
      <c r="E739" s="45"/>
      <c r="F739" s="44" t="s">
        <v>593</v>
      </c>
    </row>
    <row r="740" spans="1:6" x14ac:dyDescent="0.35">
      <c r="A740" s="27">
        <v>44908</v>
      </c>
      <c r="B740" s="2" t="s">
        <v>735</v>
      </c>
      <c r="C740" s="41" t="s">
        <v>84</v>
      </c>
      <c r="D740" s="13" t="s">
        <v>593</v>
      </c>
      <c r="E740" s="45"/>
      <c r="F740" s="44" t="s">
        <v>593</v>
      </c>
    </row>
    <row r="741" spans="1:6" x14ac:dyDescent="0.35">
      <c r="A741" s="27">
        <v>44908</v>
      </c>
      <c r="B741" s="2" t="s">
        <v>736</v>
      </c>
      <c r="C741" s="41" t="s">
        <v>84</v>
      </c>
      <c r="D741" s="13" t="s">
        <v>593</v>
      </c>
      <c r="E741" s="45"/>
      <c r="F741" s="44" t="s">
        <v>593</v>
      </c>
    </row>
    <row r="742" spans="1:6" x14ac:dyDescent="0.35">
      <c r="A742" s="27">
        <v>44909</v>
      </c>
      <c r="B742" s="2" t="s">
        <v>737</v>
      </c>
      <c r="C742" s="41" t="s">
        <v>84</v>
      </c>
      <c r="D742" s="17" t="s">
        <v>764</v>
      </c>
      <c r="E742" s="45"/>
      <c r="F742" s="44" t="s">
        <v>593</v>
      </c>
    </row>
    <row r="743" spans="1:6" x14ac:dyDescent="0.35">
      <c r="A743" s="27">
        <v>44910</v>
      </c>
      <c r="B743" s="2" t="s">
        <v>683</v>
      </c>
      <c r="C743" s="41" t="s">
        <v>84</v>
      </c>
      <c r="D743" s="16" t="s">
        <v>764</v>
      </c>
      <c r="E743" s="45"/>
      <c r="F743" s="44" t="s">
        <v>593</v>
      </c>
    </row>
    <row r="744" spans="1:6" x14ac:dyDescent="0.35">
      <c r="A744" s="27">
        <v>44910</v>
      </c>
      <c r="B744" s="2" t="s">
        <v>738</v>
      </c>
      <c r="C744" s="41" t="s">
        <v>84</v>
      </c>
      <c r="D744" s="39" t="s">
        <v>593</v>
      </c>
      <c r="E744" s="45"/>
      <c r="F744" s="44" t="s">
        <v>593</v>
      </c>
    </row>
    <row r="745" spans="1:6" x14ac:dyDescent="0.35">
      <c r="A745" s="27">
        <v>44911</v>
      </c>
      <c r="B745" s="2" t="s">
        <v>740</v>
      </c>
      <c r="C745" s="41" t="s">
        <v>84</v>
      </c>
      <c r="D745" s="59" t="s">
        <v>785</v>
      </c>
      <c r="E745" s="45">
        <v>164.56</v>
      </c>
      <c r="F745" s="44" t="s">
        <v>593</v>
      </c>
    </row>
    <row r="746" spans="1:6" x14ac:dyDescent="0.35">
      <c r="A746" s="27">
        <v>44911</v>
      </c>
      <c r="B746" s="2" t="s">
        <v>739</v>
      </c>
      <c r="C746" s="41" t="s">
        <v>84</v>
      </c>
      <c r="D746" s="16" t="s">
        <v>784</v>
      </c>
      <c r="E746" s="46">
        <v>125.4</v>
      </c>
      <c r="F746" s="44" t="s">
        <v>593</v>
      </c>
    </row>
    <row r="747" spans="1:6" x14ac:dyDescent="0.35">
      <c r="A747" s="27">
        <v>44914</v>
      </c>
      <c r="B747" s="2" t="s">
        <v>671</v>
      </c>
      <c r="C747" s="41" t="s">
        <v>84</v>
      </c>
      <c r="D747" s="60" t="s">
        <v>606</v>
      </c>
      <c r="E747" s="46"/>
      <c r="F747" s="44" t="s">
        <v>593</v>
      </c>
    </row>
    <row r="748" spans="1:6" x14ac:dyDescent="0.35">
      <c r="A748" s="26">
        <v>44932</v>
      </c>
      <c r="B748" s="36" t="s">
        <v>741</v>
      </c>
      <c r="C748" s="41" t="s">
        <v>84</v>
      </c>
      <c r="D748" s="24" t="s">
        <v>786</v>
      </c>
      <c r="E748" s="45"/>
      <c r="F748" s="44"/>
    </row>
    <row r="749" spans="1:6" x14ac:dyDescent="0.35">
      <c r="A749" s="27">
        <v>44938</v>
      </c>
      <c r="B749" s="36" t="s">
        <v>742</v>
      </c>
      <c r="C749" s="43" t="s">
        <v>84</v>
      </c>
      <c r="D749" s="18" t="s">
        <v>787</v>
      </c>
      <c r="E749" s="45"/>
      <c r="F749" s="48"/>
    </row>
    <row r="750" spans="1:6" x14ac:dyDescent="0.35">
      <c r="A750" s="27">
        <v>44939</v>
      </c>
      <c r="B750" s="36" t="s">
        <v>743</v>
      </c>
      <c r="C750" s="43" t="s">
        <v>84</v>
      </c>
      <c r="D750" s="18" t="s">
        <v>788</v>
      </c>
      <c r="E750" s="45"/>
      <c r="F750" s="44"/>
    </row>
    <row r="751" spans="1:6" x14ac:dyDescent="0.35">
      <c r="A751" s="27">
        <v>44942</v>
      </c>
      <c r="B751" s="36" t="s">
        <v>744</v>
      </c>
      <c r="C751" s="43" t="s">
        <v>84</v>
      </c>
      <c r="D751" s="58" t="s">
        <v>593</v>
      </c>
      <c r="E751" s="45"/>
      <c r="F751" s="44"/>
    </row>
    <row r="752" spans="1:6" x14ac:dyDescent="0.35">
      <c r="A752" s="27">
        <v>44942</v>
      </c>
      <c r="B752" s="36" t="s">
        <v>745</v>
      </c>
      <c r="C752" s="43" t="s">
        <v>84</v>
      </c>
      <c r="D752" s="24" t="s">
        <v>789</v>
      </c>
      <c r="E752" s="45"/>
      <c r="F752" s="44"/>
    </row>
    <row r="753" spans="1:6" x14ac:dyDescent="0.35">
      <c r="A753" s="27">
        <v>44944</v>
      </c>
      <c r="B753" s="36" t="s">
        <v>802</v>
      </c>
      <c r="C753" s="43" t="s">
        <v>84</v>
      </c>
      <c r="D753" s="58" t="s">
        <v>593</v>
      </c>
      <c r="E753" s="45"/>
      <c r="F753" s="44"/>
    </row>
    <row r="754" spans="1:6" x14ac:dyDescent="0.35">
      <c r="A754" s="27">
        <v>44945</v>
      </c>
      <c r="B754" s="36" t="s">
        <v>683</v>
      </c>
      <c r="C754" s="43" t="s">
        <v>84</v>
      </c>
      <c r="D754" s="25" t="s">
        <v>764</v>
      </c>
      <c r="E754" s="45"/>
      <c r="F754" s="44"/>
    </row>
    <row r="755" spans="1:6" x14ac:dyDescent="0.35">
      <c r="A755" s="27">
        <v>44945</v>
      </c>
      <c r="B755" s="36" t="s">
        <v>802</v>
      </c>
      <c r="C755" s="43" t="s">
        <v>84</v>
      </c>
      <c r="D755" s="39" t="s">
        <v>593</v>
      </c>
      <c r="E755" s="45"/>
      <c r="F755" s="44"/>
    </row>
    <row r="756" spans="1:6" x14ac:dyDescent="0.35">
      <c r="A756" s="27">
        <v>44946</v>
      </c>
      <c r="B756" s="36" t="s">
        <v>746</v>
      </c>
      <c r="C756" s="43" t="s">
        <v>84</v>
      </c>
      <c r="D756" s="24" t="s">
        <v>597</v>
      </c>
      <c r="E756" s="45"/>
      <c r="F756" s="44"/>
    </row>
    <row r="757" spans="1:6" x14ac:dyDescent="0.35">
      <c r="A757" s="27">
        <v>44946</v>
      </c>
      <c r="B757" s="36" t="s">
        <v>747</v>
      </c>
      <c r="C757" s="43" t="s">
        <v>84</v>
      </c>
      <c r="D757" s="58" t="s">
        <v>593</v>
      </c>
      <c r="E757" s="45"/>
      <c r="F757" s="44"/>
    </row>
    <row r="758" spans="1:6" x14ac:dyDescent="0.35">
      <c r="A758" s="28">
        <v>44947</v>
      </c>
      <c r="B758" s="3" t="s">
        <v>748</v>
      </c>
      <c r="C758" s="43" t="s">
        <v>84</v>
      </c>
      <c r="D758" s="24" t="s">
        <v>790</v>
      </c>
      <c r="E758" s="45"/>
      <c r="F758" s="44"/>
    </row>
    <row r="759" spans="1:6" x14ac:dyDescent="0.35">
      <c r="A759" s="27">
        <v>44949</v>
      </c>
      <c r="B759" s="36" t="s">
        <v>749</v>
      </c>
      <c r="C759" s="43" t="s">
        <v>84</v>
      </c>
      <c r="D759" s="21" t="s">
        <v>791</v>
      </c>
      <c r="E759" s="45"/>
      <c r="F759" s="44"/>
    </row>
    <row r="760" spans="1:6" x14ac:dyDescent="0.35">
      <c r="A760" s="27">
        <v>44949</v>
      </c>
      <c r="B760" s="36" t="s">
        <v>748</v>
      </c>
      <c r="C760" s="43" t="s">
        <v>84</v>
      </c>
      <c r="D760" s="21" t="s">
        <v>790</v>
      </c>
      <c r="E760" s="45"/>
      <c r="F760" s="44"/>
    </row>
    <row r="761" spans="1:6" x14ac:dyDescent="0.35">
      <c r="A761" s="27">
        <v>44950</v>
      </c>
      <c r="B761" s="36" t="s">
        <v>750</v>
      </c>
      <c r="C761" s="43" t="s">
        <v>84</v>
      </c>
      <c r="D761" s="21" t="s">
        <v>792</v>
      </c>
      <c r="E761" s="45"/>
      <c r="F761" s="44"/>
    </row>
    <row r="762" spans="1:6" x14ac:dyDescent="0.35">
      <c r="A762" s="27">
        <v>44951</v>
      </c>
      <c r="B762" s="36" t="s">
        <v>751</v>
      </c>
      <c r="C762" s="43" t="s">
        <v>84</v>
      </c>
      <c r="D762" s="21" t="s">
        <v>790</v>
      </c>
      <c r="E762" s="45"/>
      <c r="F762" s="44"/>
    </row>
    <row r="763" spans="1:6" x14ac:dyDescent="0.35">
      <c r="A763" s="27">
        <v>44952</v>
      </c>
      <c r="B763" s="36" t="s">
        <v>803</v>
      </c>
      <c r="C763" s="43" t="s">
        <v>84</v>
      </c>
      <c r="D763" s="39" t="s">
        <v>593</v>
      </c>
      <c r="E763" s="45"/>
      <c r="F763" s="44"/>
    </row>
    <row r="764" spans="1:6" x14ac:dyDescent="0.35">
      <c r="A764" s="27">
        <v>44952</v>
      </c>
      <c r="B764" s="36" t="s">
        <v>752</v>
      </c>
      <c r="C764" s="43" t="s">
        <v>84</v>
      </c>
      <c r="D764" s="13" t="s">
        <v>593</v>
      </c>
      <c r="E764" s="45"/>
      <c r="F764" s="44"/>
    </row>
    <row r="765" spans="1:6" x14ac:dyDescent="0.35">
      <c r="A765" s="27">
        <v>44953</v>
      </c>
      <c r="B765" s="36" t="s">
        <v>753</v>
      </c>
      <c r="C765" s="43" t="s">
        <v>84</v>
      </c>
      <c r="D765" s="24" t="s">
        <v>793</v>
      </c>
      <c r="E765" s="45"/>
      <c r="F765" s="44"/>
    </row>
    <row r="766" spans="1:6" x14ac:dyDescent="0.35">
      <c r="A766" s="27">
        <v>44957</v>
      </c>
      <c r="B766" s="36" t="s">
        <v>754</v>
      </c>
      <c r="C766" s="43" t="s">
        <v>84</v>
      </c>
      <c r="D766" s="23" t="s">
        <v>794</v>
      </c>
      <c r="E766" s="45">
        <v>250.8</v>
      </c>
      <c r="F766" s="44">
        <f>+E766/100*120</f>
        <v>300.95999999999998</v>
      </c>
    </row>
    <row r="767" spans="1:6" x14ac:dyDescent="0.35">
      <c r="A767" s="27">
        <v>44958</v>
      </c>
      <c r="B767" s="36" t="s">
        <v>748</v>
      </c>
      <c r="C767" s="43" t="s">
        <v>84</v>
      </c>
      <c r="D767" s="21" t="s">
        <v>790</v>
      </c>
      <c r="E767" s="45"/>
      <c r="F767" s="44"/>
    </row>
    <row r="768" spans="1:6" x14ac:dyDescent="0.35">
      <c r="A768" s="27">
        <v>44959</v>
      </c>
      <c r="B768" s="36" t="s">
        <v>755</v>
      </c>
      <c r="C768" s="43" t="s">
        <v>84</v>
      </c>
      <c r="D768" s="39" t="s">
        <v>593</v>
      </c>
      <c r="E768" s="45"/>
      <c r="F768" s="44"/>
    </row>
    <row r="769" spans="1:6" x14ac:dyDescent="0.35">
      <c r="A769" s="27">
        <v>44960</v>
      </c>
      <c r="B769" s="36" t="s">
        <v>756</v>
      </c>
      <c r="C769" s="43" t="s">
        <v>84</v>
      </c>
      <c r="D769" s="25" t="s">
        <v>795</v>
      </c>
      <c r="E769" s="45"/>
      <c r="F769" s="44"/>
    </row>
    <row r="770" spans="1:6" x14ac:dyDescent="0.35">
      <c r="A770" s="27">
        <v>44963</v>
      </c>
      <c r="B770" s="36" t="s">
        <v>729</v>
      </c>
      <c r="C770" s="43" t="s">
        <v>84</v>
      </c>
      <c r="D770" s="21" t="s">
        <v>796</v>
      </c>
      <c r="E770" s="45"/>
      <c r="F770" s="44"/>
    </row>
    <row r="771" spans="1:6" x14ac:dyDescent="0.35">
      <c r="A771" s="27">
        <v>44963</v>
      </c>
      <c r="B771" s="36" t="s">
        <v>757</v>
      </c>
      <c r="C771" s="43" t="s">
        <v>84</v>
      </c>
      <c r="D771" s="21" t="s">
        <v>797</v>
      </c>
      <c r="E771" s="45"/>
      <c r="F771" s="44"/>
    </row>
    <row r="772" spans="1:6" x14ac:dyDescent="0.35">
      <c r="A772" s="27">
        <v>44964</v>
      </c>
      <c r="B772" s="36" t="s">
        <v>758</v>
      </c>
      <c r="C772" s="43" t="s">
        <v>84</v>
      </c>
      <c r="D772" s="21" t="s">
        <v>599</v>
      </c>
      <c r="E772" s="45">
        <v>180.56</v>
      </c>
      <c r="F772" s="44">
        <f>+E772/100*120</f>
        <v>216.67200000000003</v>
      </c>
    </row>
    <row r="773" spans="1:6" x14ac:dyDescent="0.35">
      <c r="A773" s="27">
        <v>44965</v>
      </c>
      <c r="B773" s="36" t="s">
        <v>759</v>
      </c>
      <c r="C773" s="43" t="s">
        <v>84</v>
      </c>
      <c r="D773" s="39" t="s">
        <v>593</v>
      </c>
      <c r="E773" s="45"/>
      <c r="F773" s="44"/>
    </row>
    <row r="774" spans="1:6" x14ac:dyDescent="0.35">
      <c r="A774" s="27">
        <v>44966</v>
      </c>
      <c r="B774" s="36" t="s">
        <v>760</v>
      </c>
      <c r="C774" s="43" t="s">
        <v>84</v>
      </c>
      <c r="D774" s="25" t="s">
        <v>798</v>
      </c>
      <c r="E774" s="45">
        <v>338.96</v>
      </c>
      <c r="F774" s="44">
        <f>+E774/100*120</f>
        <v>406.75199999999995</v>
      </c>
    </row>
    <row r="775" spans="1:6" x14ac:dyDescent="0.35">
      <c r="A775" s="27">
        <v>44967</v>
      </c>
      <c r="B775" s="36" t="s">
        <v>761</v>
      </c>
      <c r="C775" s="43" t="s">
        <v>84</v>
      </c>
      <c r="D775" s="18" t="s">
        <v>799</v>
      </c>
      <c r="E775" s="45"/>
      <c r="F775" s="44"/>
    </row>
    <row r="776" spans="1:6" x14ac:dyDescent="0.35">
      <c r="A776" s="28">
        <v>44970</v>
      </c>
      <c r="B776" s="3" t="s">
        <v>804</v>
      </c>
      <c r="C776" s="43" t="s">
        <v>84</v>
      </c>
      <c r="D776" s="58" t="s">
        <v>593</v>
      </c>
      <c r="E776" s="45"/>
      <c r="F776" s="44"/>
    </row>
    <row r="777" spans="1:6" x14ac:dyDescent="0.35">
      <c r="A777" s="8">
        <v>44971</v>
      </c>
      <c r="B777" s="3" t="s">
        <v>804</v>
      </c>
      <c r="C777" s="43" t="s">
        <v>84</v>
      </c>
      <c r="D777" s="13" t="s">
        <v>593</v>
      </c>
      <c r="E777" s="45"/>
      <c r="F777" s="44"/>
    </row>
    <row r="778" spans="1:6" x14ac:dyDescent="0.35">
      <c r="A778" s="8">
        <v>44972</v>
      </c>
      <c r="B778" s="3" t="s">
        <v>804</v>
      </c>
      <c r="C778" s="43" t="s">
        <v>84</v>
      </c>
      <c r="D778" s="13" t="s">
        <v>593</v>
      </c>
      <c r="E778" s="45"/>
      <c r="F778" s="44"/>
    </row>
    <row r="779" spans="1:6" x14ac:dyDescent="0.35">
      <c r="A779" s="8">
        <v>44973</v>
      </c>
      <c r="B779" s="3" t="s">
        <v>805</v>
      </c>
      <c r="C779" s="43" t="s">
        <v>84</v>
      </c>
      <c r="D779" s="13" t="s">
        <v>593</v>
      </c>
      <c r="E779" s="45"/>
      <c r="F779" s="44"/>
    </row>
    <row r="780" spans="1:6" x14ac:dyDescent="0.35">
      <c r="A780" s="8">
        <v>44974</v>
      </c>
      <c r="B780" s="3" t="s">
        <v>806</v>
      </c>
      <c r="C780" s="43" t="s">
        <v>84</v>
      </c>
      <c r="D780" s="13" t="s">
        <v>593</v>
      </c>
      <c r="E780" s="45"/>
      <c r="F780" s="44"/>
    </row>
    <row r="781" spans="1:6" x14ac:dyDescent="0.35">
      <c r="A781" s="8">
        <v>44974</v>
      </c>
      <c r="B781" s="3" t="s">
        <v>807</v>
      </c>
      <c r="C781" s="43" t="s">
        <v>84</v>
      </c>
      <c r="D781" s="13" t="s">
        <v>593</v>
      </c>
      <c r="E781" s="45"/>
      <c r="F781" s="44"/>
    </row>
    <row r="782" spans="1:6" x14ac:dyDescent="0.35">
      <c r="A782" s="8">
        <v>44974</v>
      </c>
      <c r="B782" s="3" t="s">
        <v>748</v>
      </c>
      <c r="C782" s="43" t="s">
        <v>84</v>
      </c>
      <c r="D782" s="24" t="s">
        <v>790</v>
      </c>
      <c r="E782" s="45"/>
      <c r="F782" s="44"/>
    </row>
    <row r="783" spans="1:6" x14ac:dyDescent="0.35">
      <c r="A783" s="8">
        <v>44977</v>
      </c>
      <c r="B783" s="3" t="s">
        <v>808</v>
      </c>
      <c r="C783" s="43" t="s">
        <v>84</v>
      </c>
      <c r="D783" s="13" t="s">
        <v>593</v>
      </c>
      <c r="E783" s="45"/>
      <c r="F783" s="44"/>
    </row>
    <row r="784" spans="1:6" x14ac:dyDescent="0.35">
      <c r="A784" s="8">
        <v>44977</v>
      </c>
      <c r="B784" s="3" t="s">
        <v>809</v>
      </c>
      <c r="C784" s="43" t="s">
        <v>84</v>
      </c>
      <c r="D784" s="13" t="s">
        <v>593</v>
      </c>
      <c r="E784" s="45"/>
      <c r="F784" s="44"/>
    </row>
    <row r="785" spans="1:6" x14ac:dyDescent="0.35">
      <c r="A785" s="8">
        <v>44978</v>
      </c>
      <c r="B785" s="3" t="s">
        <v>810</v>
      </c>
      <c r="C785" s="43" t="s">
        <v>84</v>
      </c>
      <c r="D785" s="13" t="s">
        <v>593</v>
      </c>
      <c r="E785" s="45"/>
      <c r="F785" s="44"/>
    </row>
    <row r="786" spans="1:6" x14ac:dyDescent="0.35">
      <c r="A786" s="8">
        <v>44979</v>
      </c>
      <c r="B786" s="3" t="s">
        <v>748</v>
      </c>
      <c r="C786" s="43" t="s">
        <v>84</v>
      </c>
      <c r="D786" s="24" t="s">
        <v>790</v>
      </c>
      <c r="E786" s="45"/>
      <c r="F786" s="44"/>
    </row>
    <row r="787" spans="1:6" x14ac:dyDescent="0.35">
      <c r="A787" s="8">
        <v>44980</v>
      </c>
      <c r="B787" s="3" t="s">
        <v>811</v>
      </c>
      <c r="C787" s="43" t="s">
        <v>84</v>
      </c>
      <c r="D787" s="13" t="s">
        <v>593</v>
      </c>
      <c r="E787" s="45"/>
      <c r="F787" s="44"/>
    </row>
    <row r="788" spans="1:6" x14ac:dyDescent="0.35">
      <c r="A788" s="8">
        <v>44980</v>
      </c>
      <c r="B788" s="3" t="s">
        <v>748</v>
      </c>
      <c r="C788" s="43" t="s">
        <v>84</v>
      </c>
      <c r="D788" s="24" t="s">
        <v>790</v>
      </c>
      <c r="E788" s="45"/>
      <c r="F788" s="44"/>
    </row>
    <row r="789" spans="1:6" x14ac:dyDescent="0.35">
      <c r="A789" s="8">
        <v>44980</v>
      </c>
      <c r="B789" s="3" t="s">
        <v>752</v>
      </c>
      <c r="C789" s="43" t="s">
        <v>84</v>
      </c>
      <c r="D789" s="13" t="s">
        <v>593</v>
      </c>
      <c r="E789" s="45"/>
      <c r="F789" s="44"/>
    </row>
    <row r="790" spans="1:6" x14ac:dyDescent="0.35">
      <c r="A790" s="8">
        <v>44984</v>
      </c>
      <c r="B790" s="3" t="s">
        <v>748</v>
      </c>
      <c r="C790" s="43" t="s">
        <v>84</v>
      </c>
      <c r="D790" s="24" t="s">
        <v>790</v>
      </c>
      <c r="E790" s="45"/>
      <c r="F790" s="44"/>
    </row>
    <row r="791" spans="1:6" x14ac:dyDescent="0.35">
      <c r="A791" s="8">
        <v>44984</v>
      </c>
      <c r="B791" s="3" t="s">
        <v>744</v>
      </c>
      <c r="C791" s="43" t="s">
        <v>84</v>
      </c>
      <c r="D791" s="13" t="s">
        <v>593</v>
      </c>
      <c r="E791" s="45"/>
      <c r="F791" s="44"/>
    </row>
    <row r="792" spans="1:6" x14ac:dyDescent="0.35">
      <c r="A792" s="8">
        <v>44984</v>
      </c>
      <c r="B792" s="3" t="s">
        <v>748</v>
      </c>
      <c r="C792" s="43" t="s">
        <v>84</v>
      </c>
      <c r="D792" s="24" t="s">
        <v>790</v>
      </c>
      <c r="E792" s="45"/>
      <c r="F792" s="44"/>
    </row>
    <row r="793" spans="1:6" x14ac:dyDescent="0.35">
      <c r="A793" s="8">
        <v>44984</v>
      </c>
      <c r="B793" s="3" t="s">
        <v>812</v>
      </c>
      <c r="C793" s="43" t="s">
        <v>84</v>
      </c>
      <c r="D793" s="13" t="s">
        <v>593</v>
      </c>
      <c r="E793" s="45"/>
      <c r="F793" s="44"/>
    </row>
    <row r="794" spans="1:6" x14ac:dyDescent="0.35">
      <c r="A794" s="8">
        <v>44985</v>
      </c>
      <c r="B794" s="3" t="s">
        <v>813</v>
      </c>
      <c r="C794" s="43" t="s">
        <v>84</v>
      </c>
      <c r="D794" s="13" t="s">
        <v>593</v>
      </c>
      <c r="E794" s="45"/>
      <c r="F794" s="44"/>
    </row>
    <row r="795" spans="1:6" x14ac:dyDescent="0.35">
      <c r="A795" s="8">
        <v>44986</v>
      </c>
      <c r="B795" s="3" t="s">
        <v>814</v>
      </c>
      <c r="C795" s="43" t="s">
        <v>84</v>
      </c>
      <c r="D795" s="24" t="s">
        <v>772</v>
      </c>
      <c r="E795" s="45"/>
      <c r="F795" s="44"/>
    </row>
    <row r="796" spans="1:6" x14ac:dyDescent="0.35">
      <c r="A796" s="8">
        <v>44987</v>
      </c>
      <c r="B796" s="3" t="s">
        <v>814</v>
      </c>
      <c r="C796" s="43" t="s">
        <v>84</v>
      </c>
      <c r="D796" s="24" t="s">
        <v>772</v>
      </c>
      <c r="E796" s="45"/>
      <c r="F796" s="44"/>
    </row>
    <row r="797" spans="1:6" x14ac:dyDescent="0.35">
      <c r="A797" s="8">
        <v>44991</v>
      </c>
      <c r="B797" s="3" t="s">
        <v>744</v>
      </c>
      <c r="C797" s="43" t="s">
        <v>84</v>
      </c>
      <c r="D797" s="24" t="s">
        <v>1021</v>
      </c>
      <c r="E797" s="45"/>
      <c r="F797" s="44"/>
    </row>
    <row r="798" spans="1:6" x14ac:dyDescent="0.35">
      <c r="A798" s="8">
        <v>44991</v>
      </c>
      <c r="B798" s="3" t="s">
        <v>809</v>
      </c>
      <c r="C798" s="43" t="s">
        <v>84</v>
      </c>
      <c r="D798" s="24" t="s">
        <v>1022</v>
      </c>
      <c r="E798" s="45"/>
      <c r="F798" s="44"/>
    </row>
    <row r="799" spans="1:6" x14ac:dyDescent="0.35">
      <c r="A799" s="8">
        <v>44992</v>
      </c>
      <c r="B799" s="3" t="s">
        <v>748</v>
      </c>
      <c r="C799" s="43" t="s">
        <v>84</v>
      </c>
      <c r="D799" s="24" t="s">
        <v>790</v>
      </c>
      <c r="E799" s="45"/>
      <c r="F799" s="44"/>
    </row>
    <row r="800" spans="1:6" x14ac:dyDescent="0.35">
      <c r="A800" s="8">
        <v>44992</v>
      </c>
      <c r="B800" s="3" t="s">
        <v>815</v>
      </c>
      <c r="C800" s="43" t="s">
        <v>84</v>
      </c>
      <c r="D800" s="13" t="s">
        <v>593</v>
      </c>
      <c r="E800" s="45"/>
      <c r="F800" s="44"/>
    </row>
    <row r="801" spans="1:6" x14ac:dyDescent="0.35">
      <c r="A801" s="8">
        <v>44993</v>
      </c>
      <c r="B801" s="3" t="s">
        <v>748</v>
      </c>
      <c r="C801" s="43" t="s">
        <v>84</v>
      </c>
      <c r="D801" s="13" t="s">
        <v>593</v>
      </c>
      <c r="E801" s="45"/>
      <c r="F801" s="44"/>
    </row>
    <row r="802" spans="1:6" x14ac:dyDescent="0.35">
      <c r="A802" s="8">
        <v>44993</v>
      </c>
      <c r="B802" s="3" t="s">
        <v>816</v>
      </c>
      <c r="C802" s="43" t="s">
        <v>84</v>
      </c>
      <c r="D802" s="24" t="s">
        <v>790</v>
      </c>
      <c r="E802" s="45"/>
      <c r="F802" s="44"/>
    </row>
    <row r="803" spans="1:6" x14ac:dyDescent="0.35">
      <c r="A803" s="8">
        <v>44994</v>
      </c>
      <c r="B803" s="3" t="s">
        <v>817</v>
      </c>
      <c r="C803" s="43" t="s">
        <v>84</v>
      </c>
      <c r="D803" s="13" t="s">
        <v>593</v>
      </c>
      <c r="E803" s="45"/>
      <c r="F803" s="44"/>
    </row>
    <row r="804" spans="1:6" x14ac:dyDescent="0.35">
      <c r="A804" s="8">
        <v>44994</v>
      </c>
      <c r="B804" s="3" t="s">
        <v>748</v>
      </c>
      <c r="C804" s="43" t="s">
        <v>84</v>
      </c>
      <c r="D804" s="24" t="s">
        <v>790</v>
      </c>
      <c r="E804" s="45"/>
      <c r="F804" s="44"/>
    </row>
    <row r="805" spans="1:6" x14ac:dyDescent="0.35">
      <c r="A805" s="8">
        <v>44995</v>
      </c>
      <c r="B805" s="3" t="s">
        <v>818</v>
      </c>
      <c r="C805" s="43" t="s">
        <v>84</v>
      </c>
      <c r="D805" s="24" t="s">
        <v>1023</v>
      </c>
      <c r="E805" s="44">
        <v>135.43</v>
      </c>
      <c r="F805" s="44">
        <v>162.52000000000001</v>
      </c>
    </row>
    <row r="806" spans="1:6" x14ac:dyDescent="0.35">
      <c r="A806" s="8">
        <v>44996</v>
      </c>
      <c r="B806" s="3" t="s">
        <v>689</v>
      </c>
      <c r="C806" s="43" t="s">
        <v>84</v>
      </c>
      <c r="D806" s="24" t="s">
        <v>1024</v>
      </c>
      <c r="E806" s="44">
        <v>118.8</v>
      </c>
      <c r="F806" s="44">
        <v>142.56</v>
      </c>
    </row>
    <row r="807" spans="1:6" x14ac:dyDescent="0.35">
      <c r="A807" s="8">
        <v>44998</v>
      </c>
      <c r="B807" s="3" t="s">
        <v>748</v>
      </c>
      <c r="C807" s="43" t="s">
        <v>84</v>
      </c>
      <c r="D807" s="24" t="s">
        <v>790</v>
      </c>
      <c r="E807" s="45"/>
      <c r="F807" s="44"/>
    </row>
    <row r="808" spans="1:6" x14ac:dyDescent="0.35">
      <c r="A808" s="8">
        <v>44998</v>
      </c>
      <c r="B808" s="3" t="s">
        <v>744</v>
      </c>
      <c r="C808" s="43" t="s">
        <v>84</v>
      </c>
      <c r="D808" s="24" t="s">
        <v>1021</v>
      </c>
      <c r="E808" s="45"/>
      <c r="F808" s="44"/>
    </row>
    <row r="809" spans="1:6" x14ac:dyDescent="0.35">
      <c r="A809" s="8">
        <v>44998</v>
      </c>
      <c r="B809" s="3" t="s">
        <v>819</v>
      </c>
      <c r="C809" s="43" t="s">
        <v>84</v>
      </c>
      <c r="D809" s="13" t="s">
        <v>593</v>
      </c>
      <c r="E809" s="45"/>
      <c r="F809" s="44"/>
    </row>
    <row r="810" spans="1:6" x14ac:dyDescent="0.35">
      <c r="A810" s="8">
        <v>44999</v>
      </c>
      <c r="B810" s="3" t="s">
        <v>820</v>
      </c>
      <c r="C810" s="43" t="s">
        <v>84</v>
      </c>
      <c r="D810" s="13" t="s">
        <v>593</v>
      </c>
      <c r="E810" s="45"/>
      <c r="F810" s="44"/>
    </row>
    <row r="811" spans="1:6" x14ac:dyDescent="0.35">
      <c r="A811" s="8">
        <v>45000</v>
      </c>
      <c r="B811" s="3" t="s">
        <v>803</v>
      </c>
      <c r="C811" s="43" t="s">
        <v>84</v>
      </c>
      <c r="D811" s="13" t="s">
        <v>593</v>
      </c>
      <c r="E811" s="45"/>
      <c r="F811" s="44"/>
    </row>
    <row r="812" spans="1:6" x14ac:dyDescent="0.35">
      <c r="A812" s="8">
        <v>45001</v>
      </c>
      <c r="B812" s="3" t="s">
        <v>821</v>
      </c>
      <c r="C812" s="43" t="s">
        <v>84</v>
      </c>
      <c r="D812" s="24" t="s">
        <v>1025</v>
      </c>
      <c r="E812" s="45"/>
      <c r="F812" s="44"/>
    </row>
    <row r="813" spans="1:6" x14ac:dyDescent="0.35">
      <c r="A813" s="8">
        <v>45001</v>
      </c>
      <c r="B813" s="3" t="s">
        <v>822</v>
      </c>
      <c r="C813" s="43" t="s">
        <v>84</v>
      </c>
      <c r="D813" s="13" t="s">
        <v>593</v>
      </c>
      <c r="E813" s="45"/>
      <c r="F813" s="44"/>
    </row>
    <row r="814" spans="1:6" x14ac:dyDescent="0.35">
      <c r="A814" s="8">
        <v>45005</v>
      </c>
      <c r="B814" s="3" t="s">
        <v>821</v>
      </c>
      <c r="C814" s="43" t="s">
        <v>84</v>
      </c>
      <c r="D814" s="24" t="s">
        <v>1026</v>
      </c>
      <c r="E814" s="45"/>
      <c r="F814" s="44"/>
    </row>
    <row r="815" spans="1:6" x14ac:dyDescent="0.35">
      <c r="A815" s="8">
        <v>45006</v>
      </c>
      <c r="B815" s="3" t="s">
        <v>821</v>
      </c>
      <c r="C815" s="43" t="s">
        <v>84</v>
      </c>
      <c r="D815" s="24" t="s">
        <v>1026</v>
      </c>
      <c r="E815" s="45"/>
      <c r="F815" s="44"/>
    </row>
    <row r="816" spans="1:6" x14ac:dyDescent="0.35">
      <c r="A816" s="8">
        <v>45007</v>
      </c>
      <c r="B816" s="3" t="s">
        <v>823</v>
      </c>
      <c r="C816" s="43" t="s">
        <v>84</v>
      </c>
      <c r="D816" s="13" t="s">
        <v>593</v>
      </c>
      <c r="E816" s="45"/>
      <c r="F816" s="44"/>
    </row>
    <row r="817" spans="1:6" x14ac:dyDescent="0.35">
      <c r="A817" s="26">
        <v>45008</v>
      </c>
      <c r="B817" s="36" t="s">
        <v>744</v>
      </c>
      <c r="C817" s="43" t="s">
        <v>84</v>
      </c>
      <c r="D817" s="24" t="s">
        <v>1021</v>
      </c>
      <c r="E817" s="45"/>
      <c r="F817" s="44"/>
    </row>
    <row r="818" spans="1:6" x14ac:dyDescent="0.35">
      <c r="A818" s="8">
        <v>45008</v>
      </c>
      <c r="B818" s="3" t="s">
        <v>824</v>
      </c>
      <c r="C818" s="43" t="s">
        <v>84</v>
      </c>
      <c r="D818" s="24" t="s">
        <v>1027</v>
      </c>
      <c r="E818" s="45"/>
      <c r="F818" s="44"/>
    </row>
    <row r="819" spans="1:6" x14ac:dyDescent="0.35">
      <c r="A819" s="8">
        <v>45014</v>
      </c>
      <c r="B819" s="3" t="s">
        <v>825</v>
      </c>
      <c r="C819" s="43" t="s">
        <v>84</v>
      </c>
      <c r="D819" s="33" t="s">
        <v>593</v>
      </c>
      <c r="E819" s="45"/>
      <c r="F819" s="44"/>
    </row>
    <row r="820" spans="1:6" x14ac:dyDescent="0.35">
      <c r="A820" s="8">
        <v>45016</v>
      </c>
      <c r="B820" s="3" t="s">
        <v>826</v>
      </c>
      <c r="C820" s="43" t="s">
        <v>84</v>
      </c>
      <c r="D820" s="24" t="s">
        <v>783</v>
      </c>
      <c r="E820" s="44">
        <v>135.43</v>
      </c>
      <c r="F820" s="44">
        <v>162.52000000000001</v>
      </c>
    </row>
    <row r="821" spans="1:6" x14ac:dyDescent="0.35">
      <c r="A821" s="8">
        <v>45019</v>
      </c>
      <c r="B821" s="3" t="s">
        <v>827</v>
      </c>
      <c r="C821" s="43" t="s">
        <v>84</v>
      </c>
      <c r="D821" s="13" t="s">
        <v>593</v>
      </c>
      <c r="E821" s="45"/>
      <c r="F821" s="44"/>
    </row>
    <row r="822" spans="1:6" x14ac:dyDescent="0.35">
      <c r="A822" s="8">
        <v>45019</v>
      </c>
      <c r="B822" s="3" t="s">
        <v>828</v>
      </c>
      <c r="C822" s="43" t="s">
        <v>84</v>
      </c>
      <c r="D822" s="13" t="s">
        <v>593</v>
      </c>
      <c r="E822" s="45"/>
      <c r="F822" s="44"/>
    </row>
    <row r="823" spans="1:6" x14ac:dyDescent="0.35">
      <c r="A823" s="8">
        <v>45019</v>
      </c>
      <c r="B823" s="3" t="s">
        <v>829</v>
      </c>
      <c r="C823" s="43" t="s">
        <v>84</v>
      </c>
      <c r="D823" s="13" t="s">
        <v>593</v>
      </c>
      <c r="E823" s="45"/>
      <c r="F823" s="44"/>
    </row>
    <row r="824" spans="1:6" x14ac:dyDescent="0.35">
      <c r="A824" s="8">
        <v>45019</v>
      </c>
      <c r="B824" s="3" t="s">
        <v>830</v>
      </c>
      <c r="C824" s="43" t="s">
        <v>84</v>
      </c>
      <c r="D824" s="13" t="s">
        <v>593</v>
      </c>
      <c r="E824" s="45"/>
      <c r="F824" s="44"/>
    </row>
    <row r="825" spans="1:6" x14ac:dyDescent="0.35">
      <c r="A825" s="8">
        <v>45019</v>
      </c>
      <c r="B825" s="3" t="s">
        <v>831</v>
      </c>
      <c r="C825" s="43" t="s">
        <v>84</v>
      </c>
      <c r="D825" s="13" t="s">
        <v>593</v>
      </c>
      <c r="E825" s="45"/>
      <c r="F825" s="44"/>
    </row>
    <row r="826" spans="1:6" x14ac:dyDescent="0.35">
      <c r="A826" s="8">
        <v>45020</v>
      </c>
      <c r="B826" s="3" t="s">
        <v>832</v>
      </c>
      <c r="C826" s="43" t="s">
        <v>84</v>
      </c>
      <c r="D826" s="13" t="s">
        <v>593</v>
      </c>
      <c r="E826" s="45"/>
      <c r="F826" s="44"/>
    </row>
    <row r="827" spans="1:6" x14ac:dyDescent="0.35">
      <c r="A827" s="8">
        <v>45020</v>
      </c>
      <c r="B827" s="3" t="s">
        <v>822</v>
      </c>
      <c r="C827" s="43" t="s">
        <v>84</v>
      </c>
      <c r="D827" s="13" t="s">
        <v>593</v>
      </c>
      <c r="E827" s="45"/>
      <c r="F827" s="44"/>
    </row>
    <row r="828" spans="1:6" x14ac:dyDescent="0.35">
      <c r="A828" s="8">
        <v>45021</v>
      </c>
      <c r="B828" s="3" t="s">
        <v>833</v>
      </c>
      <c r="C828" s="43" t="s">
        <v>84</v>
      </c>
      <c r="D828" s="13" t="s">
        <v>593</v>
      </c>
      <c r="E828" s="45"/>
      <c r="F828" s="44"/>
    </row>
    <row r="829" spans="1:6" x14ac:dyDescent="0.35">
      <c r="A829" s="8">
        <v>45021</v>
      </c>
      <c r="B829" s="3" t="s">
        <v>834</v>
      </c>
      <c r="C829" s="43" t="s">
        <v>84</v>
      </c>
      <c r="D829" s="13" t="s">
        <v>593</v>
      </c>
      <c r="E829" s="45"/>
      <c r="F829" s="44"/>
    </row>
    <row r="830" spans="1:6" x14ac:dyDescent="0.35">
      <c r="A830" s="8">
        <v>45022</v>
      </c>
      <c r="B830" s="3" t="s">
        <v>835</v>
      </c>
      <c r="C830" s="43" t="s">
        <v>84</v>
      </c>
      <c r="D830" s="13" t="s">
        <v>593</v>
      </c>
      <c r="E830" s="45"/>
      <c r="F830" s="44"/>
    </row>
    <row r="831" spans="1:6" x14ac:dyDescent="0.35">
      <c r="A831" s="8">
        <v>45022</v>
      </c>
      <c r="B831" s="3" t="s">
        <v>836</v>
      </c>
      <c r="C831" s="43" t="s">
        <v>84</v>
      </c>
      <c r="D831" s="13" t="s">
        <v>593</v>
      </c>
      <c r="E831" s="45"/>
      <c r="F831" s="44"/>
    </row>
    <row r="832" spans="1:6" x14ac:dyDescent="0.35">
      <c r="A832" s="8">
        <v>45023</v>
      </c>
      <c r="B832" s="3" t="s">
        <v>837</v>
      </c>
      <c r="C832" s="43" t="s">
        <v>84</v>
      </c>
      <c r="D832" s="24" t="s">
        <v>1028</v>
      </c>
      <c r="E832" s="44">
        <v>135.43</v>
      </c>
      <c r="F832" s="44">
        <v>162.52000000000001</v>
      </c>
    </row>
    <row r="833" spans="1:6" x14ac:dyDescent="0.35">
      <c r="A833" s="8">
        <v>45023</v>
      </c>
      <c r="B833" s="3" t="s">
        <v>562</v>
      </c>
      <c r="C833" s="43" t="s">
        <v>84</v>
      </c>
      <c r="D833" s="13" t="s">
        <v>593</v>
      </c>
      <c r="E833" s="45"/>
      <c r="F833" s="44"/>
    </row>
    <row r="834" spans="1:6" x14ac:dyDescent="0.35">
      <c r="A834" s="8">
        <v>45026</v>
      </c>
      <c r="B834" s="3" t="s">
        <v>838</v>
      </c>
      <c r="C834" s="43" t="s">
        <v>84</v>
      </c>
      <c r="D834" s="13" t="s">
        <v>593</v>
      </c>
      <c r="E834" s="45"/>
      <c r="F834" s="44"/>
    </row>
    <row r="835" spans="1:6" x14ac:dyDescent="0.35">
      <c r="A835" s="8">
        <v>45027</v>
      </c>
      <c r="B835" s="3" t="s">
        <v>839</v>
      </c>
      <c r="C835" s="43" t="s">
        <v>84</v>
      </c>
      <c r="D835" s="13" t="s">
        <v>593</v>
      </c>
      <c r="E835" s="45"/>
      <c r="F835" s="44"/>
    </row>
    <row r="836" spans="1:6" x14ac:dyDescent="0.35">
      <c r="A836" s="8">
        <v>45028</v>
      </c>
      <c r="B836" s="3" t="s">
        <v>803</v>
      </c>
      <c r="C836" s="43" t="s">
        <v>84</v>
      </c>
      <c r="D836" s="13" t="s">
        <v>593</v>
      </c>
      <c r="E836" s="45"/>
      <c r="F836" s="44"/>
    </row>
    <row r="837" spans="1:6" x14ac:dyDescent="0.35">
      <c r="A837" s="8">
        <v>45029</v>
      </c>
      <c r="B837" s="3" t="s">
        <v>840</v>
      </c>
      <c r="C837" s="43" t="s">
        <v>84</v>
      </c>
      <c r="D837" s="13" t="s">
        <v>593</v>
      </c>
      <c r="E837" s="45"/>
      <c r="F837" s="44"/>
    </row>
    <row r="838" spans="1:6" x14ac:dyDescent="0.35">
      <c r="A838" s="8">
        <v>45029</v>
      </c>
      <c r="B838" s="3" t="s">
        <v>841</v>
      </c>
      <c r="C838" s="43" t="s">
        <v>84</v>
      </c>
      <c r="D838" s="13" t="s">
        <v>593</v>
      </c>
      <c r="E838" s="45"/>
      <c r="F838" s="44"/>
    </row>
    <row r="839" spans="1:6" x14ac:dyDescent="0.35">
      <c r="A839" s="8">
        <v>45030</v>
      </c>
      <c r="B839" s="3" t="s">
        <v>842</v>
      </c>
      <c r="C839" s="43" t="s">
        <v>84</v>
      </c>
      <c r="D839" s="13" t="s">
        <v>593</v>
      </c>
      <c r="E839" s="45"/>
      <c r="F839" s="44"/>
    </row>
    <row r="840" spans="1:6" x14ac:dyDescent="0.35">
      <c r="A840" s="8">
        <v>45033</v>
      </c>
      <c r="B840" s="3" t="s">
        <v>843</v>
      </c>
      <c r="C840" s="43" t="s">
        <v>84</v>
      </c>
      <c r="D840" s="13" t="s">
        <v>593</v>
      </c>
      <c r="E840" s="45"/>
      <c r="F840" s="44"/>
    </row>
    <row r="841" spans="1:6" x14ac:dyDescent="0.35">
      <c r="A841" s="8">
        <v>45033</v>
      </c>
      <c r="B841" s="3" t="s">
        <v>844</v>
      </c>
      <c r="C841" s="43" t="s">
        <v>84</v>
      </c>
      <c r="D841" s="13" t="s">
        <v>593</v>
      </c>
      <c r="E841" s="45"/>
      <c r="F841" s="44"/>
    </row>
    <row r="842" spans="1:6" x14ac:dyDescent="0.35">
      <c r="A842" s="8">
        <v>45033</v>
      </c>
      <c r="B842" s="3" t="s">
        <v>831</v>
      </c>
      <c r="C842" s="43" t="s">
        <v>84</v>
      </c>
      <c r="D842" s="13" t="s">
        <v>593</v>
      </c>
      <c r="E842" s="45"/>
      <c r="F842" s="44"/>
    </row>
    <row r="843" spans="1:6" x14ac:dyDescent="0.35">
      <c r="A843" s="8">
        <v>45034</v>
      </c>
      <c r="B843" s="3" t="s">
        <v>846</v>
      </c>
      <c r="C843" s="43" t="s">
        <v>84</v>
      </c>
      <c r="D843" s="3" t="s">
        <v>1029</v>
      </c>
      <c r="E843" s="44">
        <v>135.43</v>
      </c>
      <c r="F843" s="44">
        <v>162.52000000000001</v>
      </c>
    </row>
    <row r="844" spans="1:6" x14ac:dyDescent="0.35">
      <c r="A844" s="8">
        <v>45034</v>
      </c>
      <c r="B844" s="3" t="s">
        <v>845</v>
      </c>
      <c r="C844" s="43" t="s">
        <v>84</v>
      </c>
      <c r="D844" s="13" t="s">
        <v>593</v>
      </c>
      <c r="E844" s="45"/>
      <c r="F844" s="44"/>
    </row>
    <row r="845" spans="1:6" x14ac:dyDescent="0.35">
      <c r="A845" s="8">
        <v>45035</v>
      </c>
      <c r="B845" s="3" t="s">
        <v>847</v>
      </c>
      <c r="C845" s="43" t="s">
        <v>84</v>
      </c>
      <c r="D845" s="13" t="s">
        <v>593</v>
      </c>
      <c r="E845" s="45"/>
      <c r="F845" s="44"/>
    </row>
    <row r="846" spans="1:6" x14ac:dyDescent="0.35">
      <c r="A846" s="8">
        <v>45035</v>
      </c>
      <c r="B846" s="3" t="s">
        <v>848</v>
      </c>
      <c r="C846" s="43" t="s">
        <v>84</v>
      </c>
      <c r="D846" s="13" t="s">
        <v>593</v>
      </c>
      <c r="E846" s="45"/>
      <c r="F846" s="44"/>
    </row>
    <row r="847" spans="1:6" x14ac:dyDescent="0.35">
      <c r="A847" s="8">
        <v>45036</v>
      </c>
      <c r="B847" s="3" t="s">
        <v>683</v>
      </c>
      <c r="C847" s="43" t="s">
        <v>84</v>
      </c>
      <c r="D847" s="13" t="s">
        <v>593</v>
      </c>
      <c r="E847" s="45"/>
      <c r="F847" s="44"/>
    </row>
    <row r="848" spans="1:6" x14ac:dyDescent="0.35">
      <c r="A848" s="8">
        <v>45036</v>
      </c>
      <c r="B848" s="3" t="s">
        <v>849</v>
      </c>
      <c r="C848" s="43" t="s">
        <v>84</v>
      </c>
      <c r="D848" s="13" t="s">
        <v>593</v>
      </c>
      <c r="E848" s="45"/>
      <c r="F848" s="44"/>
    </row>
    <row r="849" spans="1:6" x14ac:dyDescent="0.35">
      <c r="A849" s="8">
        <v>45037</v>
      </c>
      <c r="B849" s="3" t="s">
        <v>850</v>
      </c>
      <c r="C849" s="43" t="s">
        <v>84</v>
      </c>
      <c r="D849" s="13" t="s">
        <v>593</v>
      </c>
      <c r="E849" s="45"/>
      <c r="F849" s="44"/>
    </row>
    <row r="850" spans="1:6" x14ac:dyDescent="0.35">
      <c r="A850" s="8">
        <v>45040</v>
      </c>
      <c r="B850" s="3" t="s">
        <v>851</v>
      </c>
      <c r="C850" s="43" t="s">
        <v>84</v>
      </c>
      <c r="D850" s="13" t="s">
        <v>593</v>
      </c>
      <c r="E850" s="45"/>
      <c r="F850" s="44"/>
    </row>
    <row r="851" spans="1:6" x14ac:dyDescent="0.35">
      <c r="A851" s="8">
        <v>45040</v>
      </c>
      <c r="B851" s="3" t="s">
        <v>831</v>
      </c>
      <c r="C851" s="43" t="s">
        <v>84</v>
      </c>
      <c r="D851" s="13" t="s">
        <v>593</v>
      </c>
      <c r="E851" s="45"/>
      <c r="F851" s="44"/>
    </row>
    <row r="852" spans="1:6" x14ac:dyDescent="0.35">
      <c r="A852" s="8">
        <v>45042</v>
      </c>
      <c r="B852" s="3" t="s">
        <v>852</v>
      </c>
      <c r="C852" s="43" t="s">
        <v>84</v>
      </c>
      <c r="D852" s="13" t="s">
        <v>593</v>
      </c>
      <c r="E852" s="45"/>
      <c r="F852" s="44"/>
    </row>
    <row r="853" spans="1:6" x14ac:dyDescent="0.35">
      <c r="A853" s="8">
        <v>45050</v>
      </c>
      <c r="B853" s="3" t="s">
        <v>853</v>
      </c>
      <c r="C853" s="43" t="s">
        <v>84</v>
      </c>
      <c r="D853" s="24" t="s">
        <v>1030</v>
      </c>
      <c r="E853" s="45"/>
      <c r="F853" s="44"/>
    </row>
    <row r="854" spans="1:6" x14ac:dyDescent="0.35">
      <c r="A854" s="8">
        <v>45051</v>
      </c>
      <c r="B854" s="3" t="s">
        <v>821</v>
      </c>
      <c r="C854" s="43" t="s">
        <v>84</v>
      </c>
      <c r="D854" s="3" t="s">
        <v>769</v>
      </c>
      <c r="E854" s="44">
        <v>135.43</v>
      </c>
      <c r="F854" s="44">
        <v>162.52000000000001</v>
      </c>
    </row>
    <row r="855" spans="1:6" x14ac:dyDescent="0.35">
      <c r="A855" s="8">
        <v>45056</v>
      </c>
      <c r="B855" s="3" t="s">
        <v>854</v>
      </c>
      <c r="C855" s="43" t="s">
        <v>594</v>
      </c>
      <c r="D855" s="3" t="s">
        <v>1031</v>
      </c>
      <c r="E855" s="44">
        <v>1670.86</v>
      </c>
      <c r="F855" s="44">
        <v>2005.03</v>
      </c>
    </row>
    <row r="856" spans="1:6" x14ac:dyDescent="0.35">
      <c r="A856" s="8">
        <v>45057</v>
      </c>
      <c r="B856" s="3" t="s">
        <v>855</v>
      </c>
      <c r="C856" s="41" t="s">
        <v>84</v>
      </c>
      <c r="D856" s="24" t="s">
        <v>1032</v>
      </c>
      <c r="E856" s="45"/>
      <c r="F856" s="44" t="s">
        <v>800</v>
      </c>
    </row>
    <row r="857" spans="1:6" x14ac:dyDescent="0.35">
      <c r="A857" s="8">
        <v>45057</v>
      </c>
      <c r="B857" s="3" t="s">
        <v>856</v>
      </c>
      <c r="C857" s="43" t="s">
        <v>84</v>
      </c>
      <c r="D857" s="24" t="s">
        <v>1033</v>
      </c>
      <c r="E857" s="45"/>
      <c r="F857" s="44"/>
    </row>
    <row r="858" spans="1:6" x14ac:dyDescent="0.35">
      <c r="A858" s="8">
        <v>45058</v>
      </c>
      <c r="B858" s="3" t="s">
        <v>857</v>
      </c>
      <c r="C858" s="43" t="s">
        <v>84</v>
      </c>
      <c r="D858" s="24" t="s">
        <v>1021</v>
      </c>
      <c r="E858" s="45"/>
      <c r="F858" s="44"/>
    </row>
    <row r="859" spans="1:6" x14ac:dyDescent="0.35">
      <c r="A859" s="8">
        <v>45059</v>
      </c>
      <c r="B859" s="3" t="s">
        <v>858</v>
      </c>
      <c r="C859" s="43" t="s">
        <v>84</v>
      </c>
      <c r="D859" s="3" t="s">
        <v>1034</v>
      </c>
      <c r="E859" s="44">
        <v>396</v>
      </c>
      <c r="F859" s="44">
        <v>475.2</v>
      </c>
    </row>
    <row r="860" spans="1:6" x14ac:dyDescent="0.35">
      <c r="A860" s="8">
        <v>45061</v>
      </c>
      <c r="B860" s="3" t="s">
        <v>859</v>
      </c>
      <c r="C860" s="43" t="s">
        <v>84</v>
      </c>
      <c r="D860" s="20" t="s">
        <v>1021</v>
      </c>
      <c r="E860" s="45"/>
      <c r="F860" s="44"/>
    </row>
    <row r="861" spans="1:6" x14ac:dyDescent="0.35">
      <c r="A861" s="8">
        <v>45061</v>
      </c>
      <c r="B861" s="3" t="s">
        <v>809</v>
      </c>
      <c r="C861" s="43" t="s">
        <v>84</v>
      </c>
      <c r="D861" s="24" t="s">
        <v>1035</v>
      </c>
      <c r="E861" s="45"/>
      <c r="F861" s="44" t="s">
        <v>800</v>
      </c>
    </row>
    <row r="862" spans="1:6" x14ac:dyDescent="0.35">
      <c r="A862" s="8">
        <v>45062</v>
      </c>
      <c r="B862" s="3" t="s">
        <v>860</v>
      </c>
      <c r="C862" s="43" t="s">
        <v>84</v>
      </c>
      <c r="D862" s="24" t="s">
        <v>1036</v>
      </c>
      <c r="E862" s="44">
        <v>541.72</v>
      </c>
      <c r="F862" s="44">
        <v>650.05999999999995</v>
      </c>
    </row>
    <row r="863" spans="1:6" x14ac:dyDescent="0.35">
      <c r="A863" s="8">
        <v>45068</v>
      </c>
      <c r="B863" s="3" t="s">
        <v>861</v>
      </c>
      <c r="C863" s="43" t="s">
        <v>84</v>
      </c>
      <c r="D863" s="24" t="s">
        <v>1037</v>
      </c>
      <c r="E863" s="45"/>
      <c r="F863" s="44"/>
    </row>
    <row r="864" spans="1:6" x14ac:dyDescent="0.35">
      <c r="A864" s="8">
        <v>45068</v>
      </c>
      <c r="B864" s="3" t="s">
        <v>862</v>
      </c>
      <c r="C864" s="43" t="s">
        <v>84</v>
      </c>
      <c r="D864" s="24" t="s">
        <v>1038</v>
      </c>
      <c r="E864" s="45"/>
      <c r="F864" s="44" t="s">
        <v>800</v>
      </c>
    </row>
    <row r="865" spans="1:6" x14ac:dyDescent="0.35">
      <c r="A865" s="8">
        <v>45069</v>
      </c>
      <c r="B865" s="3" t="s">
        <v>863</v>
      </c>
      <c r="C865" s="43" t="s">
        <v>84</v>
      </c>
      <c r="D865" s="3" t="s">
        <v>1039</v>
      </c>
      <c r="E865" s="44">
        <v>169.48</v>
      </c>
      <c r="F865" s="44"/>
    </row>
    <row r="866" spans="1:6" x14ac:dyDescent="0.35">
      <c r="A866" s="8">
        <v>45070</v>
      </c>
      <c r="B866" s="3" t="s">
        <v>864</v>
      </c>
      <c r="C866" s="43" t="s">
        <v>594</v>
      </c>
      <c r="D866" s="24" t="s">
        <v>1040</v>
      </c>
      <c r="E866" s="44">
        <v>479.2</v>
      </c>
      <c r="F866" s="44">
        <v>575.04</v>
      </c>
    </row>
    <row r="867" spans="1:6" x14ac:dyDescent="0.35">
      <c r="A867" s="8">
        <v>45070</v>
      </c>
      <c r="B867" s="3" t="s">
        <v>865</v>
      </c>
      <c r="C867" s="41" t="s">
        <v>84</v>
      </c>
      <c r="D867" s="3" t="s">
        <v>1041</v>
      </c>
      <c r="E867" s="45"/>
      <c r="F867" s="44" t="s">
        <v>800</v>
      </c>
    </row>
    <row r="868" spans="1:6" x14ac:dyDescent="0.35">
      <c r="A868" s="8">
        <v>45070</v>
      </c>
      <c r="B868" s="4" t="s">
        <v>862</v>
      </c>
      <c r="C868" s="43" t="s">
        <v>84</v>
      </c>
      <c r="D868" s="24" t="s">
        <v>1038</v>
      </c>
      <c r="E868" s="45"/>
      <c r="F868" s="44" t="s">
        <v>800</v>
      </c>
    </row>
    <row r="869" spans="1:6" x14ac:dyDescent="0.35">
      <c r="A869" s="8">
        <v>45071</v>
      </c>
      <c r="B869" s="3" t="s">
        <v>866</v>
      </c>
      <c r="C869" s="43" t="s">
        <v>84</v>
      </c>
      <c r="D869" s="24" t="s">
        <v>1042</v>
      </c>
      <c r="E869" s="44">
        <v>162.52000000000001</v>
      </c>
      <c r="F869" s="44">
        <v>195.02</v>
      </c>
    </row>
    <row r="870" spans="1:6" x14ac:dyDescent="0.35">
      <c r="A870" s="8">
        <v>45072</v>
      </c>
      <c r="B870" s="3" t="s">
        <v>867</v>
      </c>
      <c r="C870" s="43" t="s">
        <v>84</v>
      </c>
      <c r="D870" s="3" t="s">
        <v>1043</v>
      </c>
      <c r="E870" s="44">
        <v>135.43</v>
      </c>
      <c r="F870" s="44">
        <v>162.52000000000001</v>
      </c>
    </row>
    <row r="871" spans="1:6" x14ac:dyDescent="0.35">
      <c r="A871" s="8">
        <v>45077</v>
      </c>
      <c r="B871" s="3" t="s">
        <v>809</v>
      </c>
      <c r="C871" s="43" t="s">
        <v>84</v>
      </c>
      <c r="D871" s="20" t="s">
        <v>1022</v>
      </c>
      <c r="E871" s="45"/>
      <c r="F871" s="44" t="s">
        <v>800</v>
      </c>
    </row>
    <row r="872" spans="1:6" x14ac:dyDescent="0.35">
      <c r="A872" s="8">
        <v>45078</v>
      </c>
      <c r="B872" s="3" t="s">
        <v>700</v>
      </c>
      <c r="C872" s="43" t="s">
        <v>84</v>
      </c>
      <c r="D872" s="13" t="s">
        <v>593</v>
      </c>
      <c r="E872" s="45"/>
      <c r="F872" s="44"/>
    </row>
    <row r="873" spans="1:6" x14ac:dyDescent="0.35">
      <c r="A873" s="8">
        <v>45079</v>
      </c>
      <c r="B873" s="5" t="s">
        <v>862</v>
      </c>
      <c r="C873" s="43" t="s">
        <v>84</v>
      </c>
      <c r="D873" s="24" t="s">
        <v>1038</v>
      </c>
      <c r="E873" s="45"/>
      <c r="F873" s="44" t="s">
        <v>800</v>
      </c>
    </row>
    <row r="874" spans="1:6" x14ac:dyDescent="0.35">
      <c r="A874" s="8">
        <v>45082</v>
      </c>
      <c r="B874" s="3" t="s">
        <v>868</v>
      </c>
      <c r="C874" s="43" t="s">
        <v>84</v>
      </c>
      <c r="D874" s="20" t="s">
        <v>1044</v>
      </c>
      <c r="E874" s="44">
        <v>72.2</v>
      </c>
      <c r="F874" s="44">
        <v>95.4</v>
      </c>
    </row>
    <row r="875" spans="1:6" x14ac:dyDescent="0.35">
      <c r="A875" s="8">
        <v>45082</v>
      </c>
      <c r="B875" s="3" t="s">
        <v>869</v>
      </c>
      <c r="C875" s="43" t="s">
        <v>84</v>
      </c>
      <c r="D875" s="24" t="s">
        <v>1045</v>
      </c>
      <c r="E875" s="45"/>
      <c r="F875" s="44" t="s">
        <v>800</v>
      </c>
    </row>
    <row r="876" spans="1:6" x14ac:dyDescent="0.35">
      <c r="A876" s="8">
        <v>45082</v>
      </c>
      <c r="B876" s="4" t="s">
        <v>870</v>
      </c>
      <c r="C876" s="43" t="s">
        <v>84</v>
      </c>
      <c r="D876" s="24" t="s">
        <v>1035</v>
      </c>
      <c r="E876" s="45"/>
      <c r="F876" s="44" t="s">
        <v>800</v>
      </c>
    </row>
    <row r="877" spans="1:6" x14ac:dyDescent="0.35">
      <c r="A877" s="8">
        <v>45083</v>
      </c>
      <c r="B877" s="3" t="s">
        <v>871</v>
      </c>
      <c r="C877" s="43" t="s">
        <v>84</v>
      </c>
      <c r="D877" s="20" t="s">
        <v>1046</v>
      </c>
      <c r="E877" s="44">
        <v>135.43</v>
      </c>
      <c r="F877" s="44">
        <v>162.52000000000001</v>
      </c>
    </row>
    <row r="878" spans="1:6" x14ac:dyDescent="0.35">
      <c r="A878" s="8">
        <v>45084</v>
      </c>
      <c r="B878" s="3" t="s">
        <v>872</v>
      </c>
      <c r="C878" s="43" t="s">
        <v>84</v>
      </c>
      <c r="D878" s="24" t="s">
        <v>1118</v>
      </c>
      <c r="E878" s="44">
        <v>237.6</v>
      </c>
      <c r="F878" s="44">
        <v>285.12</v>
      </c>
    </row>
    <row r="879" spans="1:6" x14ac:dyDescent="0.35">
      <c r="A879" s="8">
        <v>45085</v>
      </c>
      <c r="B879" s="3" t="s">
        <v>873</v>
      </c>
      <c r="C879" s="43" t="s">
        <v>84</v>
      </c>
      <c r="D879" s="24" t="s">
        <v>1047</v>
      </c>
      <c r="E879" s="44">
        <v>90.28</v>
      </c>
      <c r="F879" s="44">
        <v>108.34</v>
      </c>
    </row>
    <row r="880" spans="1:6" x14ac:dyDescent="0.35">
      <c r="A880" s="8">
        <v>45085</v>
      </c>
      <c r="B880" s="3" t="s">
        <v>874</v>
      </c>
      <c r="C880" s="57" t="s">
        <v>1020</v>
      </c>
      <c r="D880" s="24" t="s">
        <v>1048</v>
      </c>
      <c r="E880" s="45"/>
      <c r="F880" s="44" t="s">
        <v>800</v>
      </c>
    </row>
    <row r="881" spans="1:6" x14ac:dyDescent="0.35">
      <c r="A881" s="8">
        <v>45086</v>
      </c>
      <c r="B881" s="3" t="s">
        <v>842</v>
      </c>
      <c r="C881" s="50" t="s">
        <v>84</v>
      </c>
      <c r="D881" s="24" t="s">
        <v>1022</v>
      </c>
      <c r="E881" s="45"/>
      <c r="F881" s="44" t="s">
        <v>800</v>
      </c>
    </row>
    <row r="882" spans="1:6" x14ac:dyDescent="0.35">
      <c r="A882" s="8">
        <v>45089</v>
      </c>
      <c r="B882" s="3" t="s">
        <v>875</v>
      </c>
      <c r="C882" s="43" t="s">
        <v>84</v>
      </c>
      <c r="D882" s="24" t="s">
        <v>1049</v>
      </c>
      <c r="E882" s="45"/>
      <c r="F882" s="44"/>
    </row>
    <row r="883" spans="1:6" x14ac:dyDescent="0.35">
      <c r="A883" s="8">
        <v>45089</v>
      </c>
      <c r="B883" s="3" t="s">
        <v>876</v>
      </c>
      <c r="C883" s="43" t="s">
        <v>84</v>
      </c>
      <c r="D883" s="24" t="s">
        <v>1050</v>
      </c>
      <c r="E883" s="45"/>
      <c r="F883" s="44" t="s">
        <v>800</v>
      </c>
    </row>
    <row r="884" spans="1:6" x14ac:dyDescent="0.35">
      <c r="A884" s="8">
        <v>45090</v>
      </c>
      <c r="B884" s="3" t="s">
        <v>877</v>
      </c>
      <c r="C884" s="43" t="s">
        <v>594</v>
      </c>
      <c r="D884" s="25" t="s">
        <v>1051</v>
      </c>
      <c r="E884" s="44">
        <v>800</v>
      </c>
      <c r="F884" s="44">
        <v>960</v>
      </c>
    </row>
    <row r="885" spans="1:6" x14ac:dyDescent="0.35">
      <c r="A885" s="8">
        <v>45090</v>
      </c>
      <c r="B885" s="3" t="s">
        <v>809</v>
      </c>
      <c r="C885" s="41" t="s">
        <v>84</v>
      </c>
      <c r="D885" s="24" t="s">
        <v>1035</v>
      </c>
      <c r="E885" s="45"/>
      <c r="F885" s="44" t="s">
        <v>800</v>
      </c>
    </row>
    <row r="886" spans="1:6" x14ac:dyDescent="0.35">
      <c r="A886" s="8">
        <v>45090</v>
      </c>
      <c r="B886" s="3" t="s">
        <v>862</v>
      </c>
      <c r="C886" s="43" t="s">
        <v>84</v>
      </c>
      <c r="D886" s="24" t="s">
        <v>1038</v>
      </c>
      <c r="E886" s="45"/>
      <c r="F886" s="44" t="s">
        <v>800</v>
      </c>
    </row>
    <row r="887" spans="1:6" x14ac:dyDescent="0.35">
      <c r="A887" s="8">
        <v>45091</v>
      </c>
      <c r="B887" s="3" t="s">
        <v>878</v>
      </c>
      <c r="C887" s="43" t="s">
        <v>84</v>
      </c>
      <c r="D887" s="24" t="s">
        <v>1052</v>
      </c>
      <c r="E887" s="45"/>
      <c r="F887" s="44" t="s">
        <v>800</v>
      </c>
    </row>
    <row r="888" spans="1:6" x14ac:dyDescent="0.35">
      <c r="A888" s="8">
        <v>45092</v>
      </c>
      <c r="B888" s="3" t="s">
        <v>683</v>
      </c>
      <c r="C888" s="43" t="s">
        <v>84</v>
      </c>
      <c r="D888" s="24" t="s">
        <v>1052</v>
      </c>
      <c r="E888" s="45"/>
      <c r="F888" s="44" t="s">
        <v>800</v>
      </c>
    </row>
    <row r="889" spans="1:6" x14ac:dyDescent="0.35">
      <c r="A889" s="8">
        <v>45093</v>
      </c>
      <c r="B889" s="3" t="s">
        <v>862</v>
      </c>
      <c r="C889" s="43" t="s">
        <v>84</v>
      </c>
      <c r="D889" s="24" t="s">
        <v>1038</v>
      </c>
      <c r="E889" s="45"/>
      <c r="F889" s="44" t="s">
        <v>800</v>
      </c>
    </row>
    <row r="890" spans="1:6" x14ac:dyDescent="0.35">
      <c r="A890" s="8">
        <v>45094</v>
      </c>
      <c r="B890" s="3" t="s">
        <v>879</v>
      </c>
      <c r="C890" s="43" t="s">
        <v>84</v>
      </c>
      <c r="D890" s="24" t="s">
        <v>1053</v>
      </c>
      <c r="E890" s="44">
        <v>237.6</v>
      </c>
      <c r="F890" s="44">
        <v>285.12</v>
      </c>
    </row>
    <row r="891" spans="1:6" x14ac:dyDescent="0.35">
      <c r="A891" s="8">
        <v>45098</v>
      </c>
      <c r="B891" s="3" t="s">
        <v>862</v>
      </c>
      <c r="C891" s="43" t="s">
        <v>84</v>
      </c>
      <c r="D891" s="24" t="s">
        <v>1038</v>
      </c>
      <c r="E891" s="45"/>
      <c r="F891" s="44" t="s">
        <v>800</v>
      </c>
    </row>
    <row r="892" spans="1:6" x14ac:dyDescent="0.35">
      <c r="A892" s="8">
        <v>45099</v>
      </c>
      <c r="B892" s="3" t="s">
        <v>803</v>
      </c>
      <c r="C892" s="43" t="s">
        <v>84</v>
      </c>
      <c r="D892" s="13" t="s">
        <v>593</v>
      </c>
      <c r="E892" s="45"/>
      <c r="F892" s="44"/>
    </row>
    <row r="893" spans="1:6" x14ac:dyDescent="0.35">
      <c r="A893" s="8">
        <v>45103</v>
      </c>
      <c r="B893" s="3" t="s">
        <v>880</v>
      </c>
      <c r="C893" s="43" t="s">
        <v>84</v>
      </c>
      <c r="D893" s="24" t="s">
        <v>790</v>
      </c>
      <c r="E893" s="45"/>
      <c r="F893" s="44"/>
    </row>
    <row r="894" spans="1:6" x14ac:dyDescent="0.35">
      <c r="A894" s="8">
        <v>45103</v>
      </c>
      <c r="B894" s="3" t="s">
        <v>859</v>
      </c>
      <c r="C894" s="43" t="s">
        <v>84</v>
      </c>
      <c r="D894" s="24" t="s">
        <v>1021</v>
      </c>
      <c r="E894" s="45"/>
      <c r="F894" s="44"/>
    </row>
    <row r="895" spans="1:6" x14ac:dyDescent="0.35">
      <c r="A895" s="8">
        <v>45103</v>
      </c>
      <c r="B895" s="3" t="s">
        <v>881</v>
      </c>
      <c r="C895" s="43" t="s">
        <v>84</v>
      </c>
      <c r="D895" s="13" t="s">
        <v>593</v>
      </c>
      <c r="E895" s="45"/>
      <c r="F895" s="44" t="s">
        <v>801</v>
      </c>
    </row>
    <row r="896" spans="1:6" x14ac:dyDescent="0.35">
      <c r="A896" s="8">
        <v>45103</v>
      </c>
      <c r="B896" s="3" t="s">
        <v>809</v>
      </c>
      <c r="C896" s="43" t="s">
        <v>84</v>
      </c>
      <c r="D896" s="24" t="s">
        <v>1022</v>
      </c>
      <c r="E896" s="45"/>
      <c r="F896" s="44" t="s">
        <v>800</v>
      </c>
    </row>
    <row r="897" spans="1:6" x14ac:dyDescent="0.35">
      <c r="A897" s="8">
        <v>45103</v>
      </c>
      <c r="B897" s="3" t="s">
        <v>882</v>
      </c>
      <c r="C897" s="43" t="s">
        <v>84</v>
      </c>
      <c r="D897" s="13" t="s">
        <v>593</v>
      </c>
      <c r="E897" s="45"/>
      <c r="F897" s="44"/>
    </row>
    <row r="898" spans="1:6" x14ac:dyDescent="0.35">
      <c r="A898" s="8">
        <v>45104</v>
      </c>
      <c r="B898" s="3" t="s">
        <v>883</v>
      </c>
      <c r="C898" s="43" t="s">
        <v>84</v>
      </c>
      <c r="D898" s="24" t="s">
        <v>1054</v>
      </c>
      <c r="E898" s="45"/>
      <c r="F898" s="44"/>
    </row>
    <row r="899" spans="1:6" x14ac:dyDescent="0.35">
      <c r="A899" s="8">
        <v>45105</v>
      </c>
      <c r="B899" s="3" t="s">
        <v>883</v>
      </c>
      <c r="C899" s="43" t="s">
        <v>84</v>
      </c>
      <c r="D899" s="24" t="s">
        <v>1054</v>
      </c>
      <c r="E899" s="45"/>
      <c r="F899" s="44"/>
    </row>
    <row r="900" spans="1:6" x14ac:dyDescent="0.35">
      <c r="A900" s="8">
        <v>45106</v>
      </c>
      <c r="B900" s="3" t="s">
        <v>883</v>
      </c>
      <c r="C900" s="43" t="s">
        <v>84</v>
      </c>
      <c r="D900" s="24" t="s">
        <v>1054</v>
      </c>
      <c r="E900" s="45"/>
      <c r="F900" s="44"/>
    </row>
    <row r="901" spans="1:6" x14ac:dyDescent="0.35">
      <c r="A901" s="8">
        <v>45107</v>
      </c>
      <c r="B901" s="3" t="s">
        <v>884</v>
      </c>
      <c r="C901" s="43" t="s">
        <v>84</v>
      </c>
      <c r="D901" s="3" t="s">
        <v>785</v>
      </c>
      <c r="E901" s="45"/>
      <c r="F901" s="44"/>
    </row>
    <row r="902" spans="1:6" x14ac:dyDescent="0.35">
      <c r="A902" s="8">
        <v>45110</v>
      </c>
      <c r="B902" s="3" t="s">
        <v>886</v>
      </c>
      <c r="C902" s="43" t="s">
        <v>84</v>
      </c>
      <c r="D902" s="4" t="s">
        <v>1056</v>
      </c>
      <c r="E902" s="44">
        <v>800</v>
      </c>
      <c r="F902" s="44">
        <v>960</v>
      </c>
    </row>
    <row r="903" spans="1:6" x14ac:dyDescent="0.35">
      <c r="A903" s="8">
        <v>45110</v>
      </c>
      <c r="B903" s="3" t="s">
        <v>885</v>
      </c>
      <c r="C903" s="43" t="s">
        <v>84</v>
      </c>
      <c r="D903" s="24" t="s">
        <v>1055</v>
      </c>
      <c r="E903" s="45"/>
      <c r="F903" s="44"/>
    </row>
    <row r="904" spans="1:6" x14ac:dyDescent="0.35">
      <c r="A904" s="8">
        <v>45110</v>
      </c>
      <c r="B904" s="3" t="s">
        <v>744</v>
      </c>
      <c r="C904" s="43" t="s">
        <v>84</v>
      </c>
      <c r="D904" s="24" t="s">
        <v>1021</v>
      </c>
      <c r="E904" s="45"/>
      <c r="F904" s="44"/>
    </row>
    <row r="905" spans="1:6" x14ac:dyDescent="0.35">
      <c r="A905" s="8">
        <v>45110</v>
      </c>
      <c r="B905" s="3" t="s">
        <v>887</v>
      </c>
      <c r="C905" s="43" t="s">
        <v>84</v>
      </c>
      <c r="D905" s="24" t="s">
        <v>1057</v>
      </c>
      <c r="E905" s="45"/>
      <c r="F905" s="44"/>
    </row>
    <row r="906" spans="1:6" x14ac:dyDescent="0.35">
      <c r="A906" s="8">
        <v>45110</v>
      </c>
      <c r="B906" s="3" t="s">
        <v>888</v>
      </c>
      <c r="C906" s="43" t="s">
        <v>84</v>
      </c>
      <c r="D906" s="4" t="s">
        <v>1058</v>
      </c>
      <c r="E906" s="45"/>
      <c r="F906" s="44"/>
    </row>
    <row r="907" spans="1:6" x14ac:dyDescent="0.35">
      <c r="A907" s="8">
        <v>45111</v>
      </c>
      <c r="B907" s="3" t="s">
        <v>889</v>
      </c>
      <c r="C907" s="50" t="s">
        <v>84</v>
      </c>
      <c r="D907" s="24" t="s">
        <v>1059</v>
      </c>
      <c r="E907" s="45"/>
      <c r="F907" s="44"/>
    </row>
    <row r="908" spans="1:6" x14ac:dyDescent="0.35">
      <c r="A908" s="8">
        <v>45111</v>
      </c>
      <c r="B908" s="3" t="s">
        <v>890</v>
      </c>
      <c r="C908" s="43" t="s">
        <v>84</v>
      </c>
      <c r="D908" s="13" t="s">
        <v>593</v>
      </c>
      <c r="E908" s="45"/>
      <c r="F908" s="44"/>
    </row>
    <row r="909" spans="1:6" x14ac:dyDescent="0.35">
      <c r="A909" s="8">
        <v>45112</v>
      </c>
      <c r="B909" s="3" t="s">
        <v>891</v>
      </c>
      <c r="C909" s="43" t="s">
        <v>84</v>
      </c>
      <c r="D909" s="13" t="s">
        <v>593</v>
      </c>
      <c r="E909" s="45"/>
      <c r="F909" s="44"/>
    </row>
    <row r="910" spans="1:6" x14ac:dyDescent="0.35">
      <c r="A910" s="8">
        <v>45112</v>
      </c>
      <c r="B910" s="3" t="s">
        <v>892</v>
      </c>
      <c r="C910" s="43" t="s">
        <v>84</v>
      </c>
      <c r="D910" s="24" t="s">
        <v>1021</v>
      </c>
      <c r="E910" s="45"/>
      <c r="F910" s="44"/>
    </row>
    <row r="911" spans="1:6" x14ac:dyDescent="0.35">
      <c r="A911" s="8">
        <v>45112</v>
      </c>
      <c r="B911" s="4" t="s">
        <v>893</v>
      </c>
      <c r="C911" s="43" t="s">
        <v>84</v>
      </c>
      <c r="D911" s="24" t="s">
        <v>1060</v>
      </c>
      <c r="E911" s="45"/>
      <c r="F911" s="44" t="s">
        <v>800</v>
      </c>
    </row>
    <row r="912" spans="1:6" x14ac:dyDescent="0.35">
      <c r="A912" s="8">
        <v>45112</v>
      </c>
      <c r="B912" s="3" t="s">
        <v>894</v>
      </c>
      <c r="C912" s="43" t="s">
        <v>84</v>
      </c>
      <c r="D912" s="24" t="s">
        <v>1061</v>
      </c>
      <c r="E912" s="45"/>
      <c r="F912" s="44"/>
    </row>
    <row r="913" spans="1:6" x14ac:dyDescent="0.35">
      <c r="A913" s="8">
        <v>45113</v>
      </c>
      <c r="B913" s="3" t="s">
        <v>895</v>
      </c>
      <c r="C913" s="43" t="s">
        <v>84</v>
      </c>
      <c r="D913" s="24" t="s">
        <v>1021</v>
      </c>
      <c r="E913" s="45"/>
      <c r="F913" s="44"/>
    </row>
    <row r="914" spans="1:6" x14ac:dyDescent="0.35">
      <c r="A914" s="8">
        <v>45113</v>
      </c>
      <c r="B914" s="3" t="s">
        <v>896</v>
      </c>
      <c r="C914" s="43" t="s">
        <v>84</v>
      </c>
      <c r="D914" s="24" t="s">
        <v>1021</v>
      </c>
      <c r="E914" s="45"/>
      <c r="F914" s="44"/>
    </row>
    <row r="915" spans="1:6" x14ac:dyDescent="0.35">
      <c r="A915" s="8">
        <v>45113</v>
      </c>
      <c r="B915" s="3" t="s">
        <v>897</v>
      </c>
      <c r="C915" s="43" t="s">
        <v>84</v>
      </c>
      <c r="D915" s="24" t="s">
        <v>1022</v>
      </c>
      <c r="E915" s="45"/>
      <c r="F915" s="44"/>
    </row>
    <row r="916" spans="1:6" x14ac:dyDescent="0.35">
      <c r="A916" s="8">
        <v>45114</v>
      </c>
      <c r="B916" s="6" t="s">
        <v>898</v>
      </c>
      <c r="C916" s="43" t="s">
        <v>84</v>
      </c>
      <c r="D916" s="25" t="s">
        <v>1062</v>
      </c>
      <c r="E916" s="44">
        <v>1265.26</v>
      </c>
      <c r="F916" s="44">
        <v>1518.31</v>
      </c>
    </row>
    <row r="917" spans="1:6" x14ac:dyDescent="0.35">
      <c r="A917" s="8">
        <v>45166</v>
      </c>
      <c r="B917" s="6" t="s">
        <v>899</v>
      </c>
      <c r="C917" s="43" t="s">
        <v>84</v>
      </c>
      <c r="D917" s="13" t="s">
        <v>593</v>
      </c>
      <c r="E917" s="45"/>
      <c r="F917" s="44"/>
    </row>
    <row r="918" spans="1:6" x14ac:dyDescent="0.35">
      <c r="A918" s="8">
        <v>45166</v>
      </c>
      <c r="B918" s="6" t="s">
        <v>900</v>
      </c>
      <c r="C918" s="43" t="s">
        <v>84</v>
      </c>
      <c r="D918" s="13" t="s">
        <v>593</v>
      </c>
      <c r="E918" s="45"/>
      <c r="F918" s="44"/>
    </row>
    <row r="919" spans="1:6" x14ac:dyDescent="0.35">
      <c r="A919" s="8">
        <v>45169</v>
      </c>
      <c r="B919" s="6" t="s">
        <v>825</v>
      </c>
      <c r="C919" s="43" t="s">
        <v>84</v>
      </c>
      <c r="D919" s="13" t="s">
        <v>593</v>
      </c>
      <c r="E919" s="45"/>
      <c r="F919" s="44"/>
    </row>
    <row r="920" spans="1:6" x14ac:dyDescent="0.35">
      <c r="A920" s="8">
        <v>45173</v>
      </c>
      <c r="B920" s="3" t="s">
        <v>901</v>
      </c>
      <c r="C920" s="43" t="s">
        <v>84</v>
      </c>
      <c r="D920" s="24" t="s">
        <v>1058</v>
      </c>
      <c r="E920" s="45"/>
      <c r="F920" s="44"/>
    </row>
    <row r="921" spans="1:6" x14ac:dyDescent="0.35">
      <c r="A921" s="8">
        <v>45173</v>
      </c>
      <c r="B921" s="3" t="s">
        <v>902</v>
      </c>
      <c r="C921" s="43" t="s">
        <v>84</v>
      </c>
      <c r="D921" s="24" t="s">
        <v>1021</v>
      </c>
      <c r="E921" s="45"/>
      <c r="F921" s="44"/>
    </row>
    <row r="922" spans="1:6" x14ac:dyDescent="0.35">
      <c r="A922" s="8">
        <v>45173</v>
      </c>
      <c r="B922" s="3" t="s">
        <v>809</v>
      </c>
      <c r="C922" s="43" t="s">
        <v>84</v>
      </c>
      <c r="D922" s="20" t="s">
        <v>1063</v>
      </c>
      <c r="E922" s="45"/>
      <c r="F922" s="44"/>
    </row>
    <row r="923" spans="1:6" x14ac:dyDescent="0.35">
      <c r="A923" s="8">
        <v>45173</v>
      </c>
      <c r="B923" s="3" t="s">
        <v>903</v>
      </c>
      <c r="C923" s="43" t="s">
        <v>84</v>
      </c>
      <c r="D923" s="24" t="s">
        <v>1064</v>
      </c>
      <c r="E923" s="45"/>
      <c r="F923" s="44"/>
    </row>
    <row r="924" spans="1:6" x14ac:dyDescent="0.35">
      <c r="A924" s="8">
        <v>45174</v>
      </c>
      <c r="B924" s="3" t="s">
        <v>852</v>
      </c>
      <c r="C924" s="43" t="s">
        <v>84</v>
      </c>
      <c r="D924" s="13" t="s">
        <v>593</v>
      </c>
      <c r="E924" s="45"/>
      <c r="F924" s="44"/>
    </row>
    <row r="925" spans="1:6" x14ac:dyDescent="0.35">
      <c r="A925" s="8">
        <v>45174</v>
      </c>
      <c r="B925" s="3" t="s">
        <v>904</v>
      </c>
      <c r="C925" s="43" t="s">
        <v>84</v>
      </c>
      <c r="D925" s="3" t="s">
        <v>1065</v>
      </c>
      <c r="E925" s="45"/>
      <c r="F925" s="44"/>
    </row>
    <row r="926" spans="1:6" x14ac:dyDescent="0.35">
      <c r="A926" s="8">
        <v>45174</v>
      </c>
      <c r="B926" s="3" t="s">
        <v>905</v>
      </c>
      <c r="C926" s="43" t="s">
        <v>84</v>
      </c>
      <c r="D926" s="3" t="s">
        <v>1065</v>
      </c>
      <c r="E926" s="45"/>
      <c r="F926" s="44"/>
    </row>
    <row r="927" spans="1:6" x14ac:dyDescent="0.35">
      <c r="A927" s="8">
        <v>45174</v>
      </c>
      <c r="B927" s="3" t="s">
        <v>906</v>
      </c>
      <c r="C927" s="43" t="s">
        <v>84</v>
      </c>
      <c r="D927" s="20" t="s">
        <v>1066</v>
      </c>
      <c r="E927" s="45"/>
      <c r="F927" s="44"/>
    </row>
    <row r="928" spans="1:6" x14ac:dyDescent="0.35">
      <c r="A928" s="8">
        <v>45175</v>
      </c>
      <c r="B928" s="3" t="s">
        <v>907</v>
      </c>
      <c r="C928" s="43" t="s">
        <v>84</v>
      </c>
      <c r="D928" s="24" t="s">
        <v>1067</v>
      </c>
      <c r="E928" s="45"/>
      <c r="F928" s="44"/>
    </row>
    <row r="929" spans="1:6" x14ac:dyDescent="0.35">
      <c r="A929" s="8">
        <v>45176</v>
      </c>
      <c r="B929" s="3" t="s">
        <v>908</v>
      </c>
      <c r="C929" s="43" t="s">
        <v>84</v>
      </c>
      <c r="D929" s="20" t="s">
        <v>1068</v>
      </c>
      <c r="E929" s="45"/>
      <c r="F929" s="44"/>
    </row>
    <row r="930" spans="1:6" x14ac:dyDescent="0.35">
      <c r="A930" s="8">
        <v>45176</v>
      </c>
      <c r="B930" s="3" t="s">
        <v>825</v>
      </c>
      <c r="C930" s="43" t="s">
        <v>84</v>
      </c>
      <c r="D930" s="13" t="s">
        <v>593</v>
      </c>
      <c r="E930" s="45"/>
      <c r="F930" s="44"/>
    </row>
    <row r="931" spans="1:6" x14ac:dyDescent="0.35">
      <c r="A931" s="8">
        <v>45176</v>
      </c>
      <c r="B931" s="4" t="s">
        <v>909</v>
      </c>
      <c r="C931" s="43" t="s">
        <v>84</v>
      </c>
      <c r="D931" s="13" t="s">
        <v>593</v>
      </c>
      <c r="E931" s="45"/>
      <c r="F931" s="44"/>
    </row>
    <row r="932" spans="1:6" x14ac:dyDescent="0.35">
      <c r="A932" s="8">
        <v>45177</v>
      </c>
      <c r="B932" s="3" t="s">
        <v>910</v>
      </c>
      <c r="C932" s="43" t="s">
        <v>84</v>
      </c>
      <c r="D932" s="24" t="s">
        <v>1069</v>
      </c>
      <c r="E932" s="44">
        <v>180.56</v>
      </c>
      <c r="F932" s="44">
        <v>216.67</v>
      </c>
    </row>
    <row r="933" spans="1:6" x14ac:dyDescent="0.35">
      <c r="A933" s="8">
        <v>45177</v>
      </c>
      <c r="B933" s="3" t="s">
        <v>911</v>
      </c>
      <c r="C933" s="43" t="s">
        <v>84</v>
      </c>
      <c r="D933" s="13" t="s">
        <v>593</v>
      </c>
      <c r="E933" s="45"/>
      <c r="F933" s="44"/>
    </row>
    <row r="934" spans="1:6" x14ac:dyDescent="0.35">
      <c r="A934" s="29">
        <v>45177</v>
      </c>
      <c r="B934" s="3" t="s">
        <v>842</v>
      </c>
      <c r="C934" s="43" t="s">
        <v>84</v>
      </c>
      <c r="D934" s="24" t="s">
        <v>1022</v>
      </c>
      <c r="E934" s="45"/>
      <c r="F934" s="44"/>
    </row>
    <row r="935" spans="1:6" x14ac:dyDescent="0.35">
      <c r="A935" s="8">
        <v>45180</v>
      </c>
      <c r="B935" s="3" t="s">
        <v>888</v>
      </c>
      <c r="C935" s="43" t="s">
        <v>84</v>
      </c>
      <c r="D935" s="3" t="s">
        <v>1058</v>
      </c>
      <c r="E935" s="45"/>
      <c r="F935" s="44"/>
    </row>
    <row r="936" spans="1:6" x14ac:dyDescent="0.35">
      <c r="A936" s="8">
        <v>45180</v>
      </c>
      <c r="B936" s="3" t="s">
        <v>912</v>
      </c>
      <c r="C936" s="43" t="s">
        <v>84</v>
      </c>
      <c r="D936" s="13" t="s">
        <v>593</v>
      </c>
      <c r="E936" s="45"/>
      <c r="F936" s="44"/>
    </row>
    <row r="937" spans="1:6" x14ac:dyDescent="0.35">
      <c r="A937" s="8">
        <v>45180</v>
      </c>
      <c r="B937" s="3" t="s">
        <v>859</v>
      </c>
      <c r="C937" s="43" t="s">
        <v>84</v>
      </c>
      <c r="D937" s="24" t="s">
        <v>1021</v>
      </c>
      <c r="E937" s="45"/>
      <c r="F937" s="44"/>
    </row>
    <row r="938" spans="1:6" x14ac:dyDescent="0.35">
      <c r="A938" s="8">
        <v>45180</v>
      </c>
      <c r="B938" s="3" t="s">
        <v>913</v>
      </c>
      <c r="C938" s="43" t="s">
        <v>84</v>
      </c>
      <c r="D938" s="13" t="s">
        <v>593</v>
      </c>
      <c r="E938" s="45"/>
      <c r="F938" s="44"/>
    </row>
    <row r="939" spans="1:6" x14ac:dyDescent="0.35">
      <c r="A939" s="8">
        <v>45181</v>
      </c>
      <c r="B939" s="3" t="s">
        <v>913</v>
      </c>
      <c r="C939" s="43" t="s">
        <v>84</v>
      </c>
      <c r="D939" s="13" t="s">
        <v>593</v>
      </c>
      <c r="E939" s="45"/>
      <c r="F939" s="49"/>
    </row>
    <row r="940" spans="1:6" x14ac:dyDescent="0.35">
      <c r="A940" s="8">
        <v>45181</v>
      </c>
      <c r="B940" s="3" t="s">
        <v>914</v>
      </c>
      <c r="C940" s="43" t="s">
        <v>84</v>
      </c>
      <c r="D940" s="3" t="s">
        <v>596</v>
      </c>
      <c r="E940" s="45"/>
      <c r="F940" s="44"/>
    </row>
    <row r="941" spans="1:6" x14ac:dyDescent="0.35">
      <c r="A941" s="8">
        <v>45182</v>
      </c>
      <c r="B941" s="3" t="s">
        <v>908</v>
      </c>
      <c r="C941" s="43" t="s">
        <v>84</v>
      </c>
      <c r="D941" s="13" t="s">
        <v>593</v>
      </c>
      <c r="E941" s="45"/>
      <c r="F941" s="44"/>
    </row>
    <row r="942" spans="1:6" x14ac:dyDescent="0.35">
      <c r="A942" s="8">
        <v>45182</v>
      </c>
      <c r="B942" s="3" t="s">
        <v>915</v>
      </c>
      <c r="C942" s="43" t="s">
        <v>84</v>
      </c>
      <c r="D942" s="13" t="s">
        <v>593</v>
      </c>
      <c r="E942" s="45"/>
      <c r="F942" s="44"/>
    </row>
    <row r="943" spans="1:6" x14ac:dyDescent="0.35">
      <c r="A943" s="8">
        <v>45183</v>
      </c>
      <c r="B943" s="3" t="s">
        <v>916</v>
      </c>
      <c r="C943" s="43" t="s">
        <v>84</v>
      </c>
      <c r="D943" s="13" t="s">
        <v>593</v>
      </c>
      <c r="E943" s="45"/>
      <c r="F943" s="44"/>
    </row>
    <row r="944" spans="1:6" x14ac:dyDescent="0.35">
      <c r="A944" s="8">
        <v>45183</v>
      </c>
      <c r="B944" s="3" t="s">
        <v>911</v>
      </c>
      <c r="C944" s="43" t="s">
        <v>84</v>
      </c>
      <c r="D944" s="13" t="s">
        <v>593</v>
      </c>
      <c r="E944" s="45"/>
      <c r="F944" s="44"/>
    </row>
    <row r="945" spans="1:6" x14ac:dyDescent="0.35">
      <c r="A945" s="8">
        <v>45183</v>
      </c>
      <c r="B945" s="3" t="s">
        <v>917</v>
      </c>
      <c r="C945" s="43" t="s">
        <v>84</v>
      </c>
      <c r="D945" s="24" t="s">
        <v>1070</v>
      </c>
      <c r="E945" s="45"/>
      <c r="F945" s="44"/>
    </row>
    <row r="946" spans="1:6" x14ac:dyDescent="0.35">
      <c r="A946" s="8">
        <v>45183</v>
      </c>
      <c r="B946" s="3" t="s">
        <v>918</v>
      </c>
      <c r="C946" s="43" t="s">
        <v>84</v>
      </c>
      <c r="D946" s="13" t="s">
        <v>593</v>
      </c>
      <c r="E946" s="45"/>
      <c r="F946" s="44"/>
    </row>
    <row r="947" spans="1:6" x14ac:dyDescent="0.35">
      <c r="A947" s="8">
        <v>45184</v>
      </c>
      <c r="B947" s="3" t="s">
        <v>913</v>
      </c>
      <c r="C947" s="43" t="s">
        <v>84</v>
      </c>
      <c r="D947" s="3" t="s">
        <v>1071</v>
      </c>
      <c r="E947" s="45"/>
      <c r="F947" s="44"/>
    </row>
    <row r="948" spans="1:6" x14ac:dyDescent="0.35">
      <c r="A948" s="8">
        <v>45184</v>
      </c>
      <c r="B948" s="3" t="s">
        <v>637</v>
      </c>
      <c r="C948" s="43" t="s">
        <v>84</v>
      </c>
      <c r="D948" s="13" t="s">
        <v>593</v>
      </c>
      <c r="E948" s="45"/>
      <c r="F948" s="44"/>
    </row>
    <row r="949" spans="1:6" x14ac:dyDescent="0.35">
      <c r="A949" s="8">
        <v>45187</v>
      </c>
      <c r="B949" s="3" t="s">
        <v>888</v>
      </c>
      <c r="C949" s="43" t="s">
        <v>84</v>
      </c>
      <c r="D949" s="24" t="s">
        <v>1072</v>
      </c>
      <c r="E949" s="45"/>
      <c r="F949" s="44"/>
    </row>
    <row r="950" spans="1:6" x14ac:dyDescent="0.35">
      <c r="A950" s="8">
        <v>45187</v>
      </c>
      <c r="B950" s="3" t="s">
        <v>919</v>
      </c>
      <c r="C950" s="43" t="s">
        <v>84</v>
      </c>
      <c r="D950" s="13" t="s">
        <v>593</v>
      </c>
      <c r="E950" s="45"/>
      <c r="F950" s="44"/>
    </row>
    <row r="951" spans="1:6" x14ac:dyDescent="0.35">
      <c r="A951" s="8">
        <v>45187</v>
      </c>
      <c r="B951" s="3" t="s">
        <v>913</v>
      </c>
      <c r="C951" s="43" t="s">
        <v>84</v>
      </c>
      <c r="D951" s="13" t="s">
        <v>593</v>
      </c>
      <c r="E951" s="45"/>
      <c r="F951" s="44"/>
    </row>
    <row r="952" spans="1:6" x14ac:dyDescent="0.35">
      <c r="A952" s="8">
        <v>45187</v>
      </c>
      <c r="B952" s="3" t="s">
        <v>809</v>
      </c>
      <c r="C952" s="43" t="s">
        <v>84</v>
      </c>
      <c r="D952" s="24" t="s">
        <v>1022</v>
      </c>
      <c r="E952" s="45"/>
      <c r="F952" s="44"/>
    </row>
    <row r="953" spans="1:6" x14ac:dyDescent="0.35">
      <c r="A953" s="8">
        <v>45187</v>
      </c>
      <c r="B953" s="3" t="s">
        <v>920</v>
      </c>
      <c r="C953" s="43" t="s">
        <v>84</v>
      </c>
      <c r="D953" s="13" t="s">
        <v>593</v>
      </c>
      <c r="E953" s="45"/>
      <c r="F953" s="44"/>
    </row>
    <row r="954" spans="1:6" x14ac:dyDescent="0.35">
      <c r="A954" s="8">
        <v>45188</v>
      </c>
      <c r="B954" s="3" t="s">
        <v>921</v>
      </c>
      <c r="C954" s="43" t="s">
        <v>84</v>
      </c>
      <c r="D954" s="13" t="s">
        <v>593</v>
      </c>
      <c r="E954" s="45"/>
      <c r="F954" s="44"/>
    </row>
    <row r="955" spans="1:6" x14ac:dyDescent="0.35">
      <c r="A955" s="8">
        <v>45188</v>
      </c>
      <c r="B955" s="3" t="s">
        <v>922</v>
      </c>
      <c r="C955" s="43" t="s">
        <v>84</v>
      </c>
      <c r="D955" s="13" t="s">
        <v>593</v>
      </c>
      <c r="E955" s="45"/>
      <c r="F955" s="44"/>
    </row>
    <row r="956" spans="1:6" x14ac:dyDescent="0.35">
      <c r="A956" s="8">
        <v>45189</v>
      </c>
      <c r="B956" s="3" t="s">
        <v>923</v>
      </c>
      <c r="C956" s="43" t="s">
        <v>84</v>
      </c>
      <c r="D956" s="3" t="s">
        <v>1073</v>
      </c>
      <c r="E956" s="44">
        <v>270.86</v>
      </c>
      <c r="F956" s="44">
        <v>325.02999999999997</v>
      </c>
    </row>
    <row r="957" spans="1:6" x14ac:dyDescent="0.35">
      <c r="A957" s="8">
        <v>45190</v>
      </c>
      <c r="B957" s="3" t="s">
        <v>924</v>
      </c>
      <c r="C957" s="43" t="s">
        <v>84</v>
      </c>
      <c r="D957" s="24" t="s">
        <v>790</v>
      </c>
      <c r="E957" s="45"/>
      <c r="F957" s="44"/>
    </row>
    <row r="958" spans="1:6" x14ac:dyDescent="0.35">
      <c r="A958" s="8">
        <v>45190</v>
      </c>
      <c r="B958" s="3" t="s">
        <v>852</v>
      </c>
      <c r="C958" s="43" t="s">
        <v>84</v>
      </c>
      <c r="D958" s="13" t="s">
        <v>593</v>
      </c>
      <c r="E958" s="45"/>
      <c r="F958" s="44"/>
    </row>
    <row r="959" spans="1:6" x14ac:dyDescent="0.35">
      <c r="A959" s="8">
        <v>45190</v>
      </c>
      <c r="B959" s="3" t="s">
        <v>683</v>
      </c>
      <c r="C959" s="43" t="s">
        <v>84</v>
      </c>
      <c r="D959" s="24" t="s">
        <v>1074</v>
      </c>
      <c r="E959" s="45"/>
      <c r="F959" s="44"/>
    </row>
    <row r="960" spans="1:6" x14ac:dyDescent="0.35">
      <c r="A960" s="8">
        <v>45190</v>
      </c>
      <c r="B960" s="3" t="s">
        <v>925</v>
      </c>
      <c r="C960" s="43" t="s">
        <v>84</v>
      </c>
      <c r="D960" s="33" t="s">
        <v>593</v>
      </c>
      <c r="E960" s="45"/>
      <c r="F960" s="44"/>
    </row>
    <row r="961" spans="1:6" x14ac:dyDescent="0.35">
      <c r="A961" s="8">
        <v>45190</v>
      </c>
      <c r="B961" s="3" t="s">
        <v>926</v>
      </c>
      <c r="C961" s="57" t="s">
        <v>455</v>
      </c>
      <c r="D961" s="13" t="s">
        <v>593</v>
      </c>
      <c r="E961" s="45"/>
      <c r="F961" s="44"/>
    </row>
    <row r="962" spans="1:6" x14ac:dyDescent="0.35">
      <c r="A962" s="8">
        <v>45191</v>
      </c>
      <c r="B962" s="3" t="s">
        <v>927</v>
      </c>
      <c r="C962" s="31" t="s">
        <v>164</v>
      </c>
      <c r="D962" s="3" t="s">
        <v>1075</v>
      </c>
      <c r="E962" s="44">
        <v>800</v>
      </c>
      <c r="F962" s="44">
        <v>960</v>
      </c>
    </row>
    <row r="963" spans="1:6" x14ac:dyDescent="0.35">
      <c r="A963" s="8">
        <v>45191</v>
      </c>
      <c r="B963" s="3" t="s">
        <v>913</v>
      </c>
      <c r="C963" s="11" t="s">
        <v>84</v>
      </c>
      <c r="D963" s="13" t="s">
        <v>593</v>
      </c>
      <c r="E963" s="45"/>
      <c r="F963" s="44"/>
    </row>
    <row r="964" spans="1:6" x14ac:dyDescent="0.35">
      <c r="A964" s="8">
        <v>45194</v>
      </c>
      <c r="B964" s="3" t="s">
        <v>810</v>
      </c>
      <c r="C964" s="43" t="s">
        <v>84</v>
      </c>
      <c r="D964" s="24" t="s">
        <v>1059</v>
      </c>
      <c r="E964" s="45"/>
      <c r="F964" s="44"/>
    </row>
    <row r="965" spans="1:6" x14ac:dyDescent="0.35">
      <c r="A965" s="8">
        <v>45194</v>
      </c>
      <c r="B965" s="3" t="s">
        <v>888</v>
      </c>
      <c r="C965" s="43" t="s">
        <v>84</v>
      </c>
      <c r="D965" s="24" t="s">
        <v>1072</v>
      </c>
      <c r="E965" s="45"/>
      <c r="F965" s="44"/>
    </row>
    <row r="966" spans="1:6" x14ac:dyDescent="0.35">
      <c r="A966" s="8">
        <v>45194</v>
      </c>
      <c r="B966" s="3" t="s">
        <v>928</v>
      </c>
      <c r="C966" s="43" t="s">
        <v>84</v>
      </c>
      <c r="D966" s="13" t="s">
        <v>593</v>
      </c>
      <c r="E966" s="45"/>
      <c r="F966" s="44"/>
    </row>
    <row r="967" spans="1:6" x14ac:dyDescent="0.35">
      <c r="A967" s="8">
        <v>45194</v>
      </c>
      <c r="B967" s="3" t="s">
        <v>929</v>
      </c>
      <c r="C967" s="43" t="s">
        <v>84</v>
      </c>
      <c r="D967" s="13" t="s">
        <v>593</v>
      </c>
      <c r="E967" s="45"/>
      <c r="F967" s="44"/>
    </row>
    <row r="968" spans="1:6" x14ac:dyDescent="0.35">
      <c r="A968" s="8">
        <v>45195</v>
      </c>
      <c r="B968" s="3" t="s">
        <v>930</v>
      </c>
      <c r="C968" s="43" t="s">
        <v>84</v>
      </c>
      <c r="D968" s="13" t="s">
        <v>593</v>
      </c>
      <c r="E968" s="44">
        <v>270.86</v>
      </c>
      <c r="F968" s="44">
        <v>325.02999999999997</v>
      </c>
    </row>
    <row r="969" spans="1:6" x14ac:dyDescent="0.35">
      <c r="A969" s="8">
        <v>45196</v>
      </c>
      <c r="B969" s="3" t="s">
        <v>931</v>
      </c>
      <c r="C969" s="43" t="s">
        <v>84</v>
      </c>
      <c r="D969" s="13" t="s">
        <v>593</v>
      </c>
      <c r="E969" s="45"/>
      <c r="F969" s="44"/>
    </row>
    <row r="970" spans="1:6" x14ac:dyDescent="0.35">
      <c r="A970" s="8">
        <v>45196</v>
      </c>
      <c r="B970" s="3" t="s">
        <v>932</v>
      </c>
      <c r="C970" s="43" t="s">
        <v>84</v>
      </c>
      <c r="D970" s="13" t="s">
        <v>593</v>
      </c>
      <c r="E970" s="45"/>
      <c r="F970" s="44"/>
    </row>
    <row r="971" spans="1:6" x14ac:dyDescent="0.35">
      <c r="A971" s="8">
        <v>45196</v>
      </c>
      <c r="B971" s="3" t="s">
        <v>555</v>
      </c>
      <c r="C971" s="43" t="s">
        <v>84</v>
      </c>
      <c r="D971" s="13" t="s">
        <v>593</v>
      </c>
      <c r="E971" s="45"/>
      <c r="F971" s="44"/>
    </row>
    <row r="972" spans="1:6" x14ac:dyDescent="0.35">
      <c r="A972" s="8">
        <v>45196</v>
      </c>
      <c r="B972" s="3" t="s">
        <v>933</v>
      </c>
      <c r="C972" s="43" t="s">
        <v>84</v>
      </c>
      <c r="D972" s="13" t="s">
        <v>593</v>
      </c>
      <c r="E972" s="45"/>
      <c r="F972" s="44"/>
    </row>
    <row r="973" spans="1:6" x14ac:dyDescent="0.35">
      <c r="A973" s="8">
        <v>45197</v>
      </c>
      <c r="B973" s="3" t="s">
        <v>934</v>
      </c>
      <c r="C973" s="43" t="s">
        <v>84</v>
      </c>
      <c r="D973" s="13" t="s">
        <v>593</v>
      </c>
      <c r="E973" s="45"/>
      <c r="F973" s="44"/>
    </row>
    <row r="974" spans="1:6" x14ac:dyDescent="0.35">
      <c r="A974" s="8">
        <v>45197</v>
      </c>
      <c r="B974" s="3" t="s">
        <v>935</v>
      </c>
      <c r="C974" s="43" t="s">
        <v>84</v>
      </c>
      <c r="D974" s="13" t="s">
        <v>593</v>
      </c>
      <c r="E974" s="45"/>
      <c r="F974" s="44"/>
    </row>
    <row r="975" spans="1:6" x14ac:dyDescent="0.35">
      <c r="A975" s="8">
        <v>45197</v>
      </c>
      <c r="B975" s="3" t="s">
        <v>936</v>
      </c>
      <c r="C975" s="43" t="s">
        <v>84</v>
      </c>
      <c r="D975" s="13" t="s">
        <v>593</v>
      </c>
      <c r="E975" s="45"/>
      <c r="F975" s="44"/>
    </row>
    <row r="976" spans="1:6" x14ac:dyDescent="0.35">
      <c r="A976" s="8">
        <v>45198</v>
      </c>
      <c r="B976" s="3" t="s">
        <v>937</v>
      </c>
      <c r="C976" s="43" t="s">
        <v>84</v>
      </c>
      <c r="D976" s="13" t="s">
        <v>593</v>
      </c>
      <c r="E976" s="45"/>
      <c r="F976" s="44"/>
    </row>
    <row r="977" spans="1:6" x14ac:dyDescent="0.35">
      <c r="A977" s="8">
        <v>45199</v>
      </c>
      <c r="B977" s="3" t="s">
        <v>938</v>
      </c>
      <c r="C977" s="43" t="s">
        <v>84</v>
      </c>
      <c r="D977" s="24" t="s">
        <v>1076</v>
      </c>
      <c r="E977" s="44">
        <v>594</v>
      </c>
      <c r="F977" s="44">
        <v>712</v>
      </c>
    </row>
    <row r="978" spans="1:6" x14ac:dyDescent="0.35">
      <c r="A978" s="8">
        <v>45201</v>
      </c>
      <c r="B978" s="3" t="s">
        <v>819</v>
      </c>
      <c r="C978" s="43" t="s">
        <v>84</v>
      </c>
      <c r="D978" s="24" t="s">
        <v>1077</v>
      </c>
      <c r="E978" s="45"/>
      <c r="F978" s="44"/>
    </row>
    <row r="979" spans="1:6" x14ac:dyDescent="0.35">
      <c r="A979" s="8">
        <v>45201</v>
      </c>
      <c r="B979" s="3" t="s">
        <v>888</v>
      </c>
      <c r="C979" s="43" t="s">
        <v>84</v>
      </c>
      <c r="D979" s="24" t="s">
        <v>1072</v>
      </c>
      <c r="E979" s="45"/>
      <c r="F979" s="44"/>
    </row>
    <row r="980" spans="1:6" x14ac:dyDescent="0.35">
      <c r="A980" s="8">
        <v>45201</v>
      </c>
      <c r="B980" s="3" t="s">
        <v>902</v>
      </c>
      <c r="C980" s="43" t="s">
        <v>84</v>
      </c>
      <c r="D980" s="24" t="s">
        <v>1021</v>
      </c>
      <c r="E980" s="45"/>
      <c r="F980" s="44"/>
    </row>
    <row r="981" spans="1:6" x14ac:dyDescent="0.35">
      <c r="A981" s="8">
        <v>45201</v>
      </c>
      <c r="B981" s="3" t="s">
        <v>939</v>
      </c>
      <c r="C981" s="43" t="s">
        <v>84</v>
      </c>
      <c r="D981" s="24" t="s">
        <v>1078</v>
      </c>
      <c r="E981" s="45"/>
      <c r="F981" s="44"/>
    </row>
    <row r="982" spans="1:6" x14ac:dyDescent="0.35">
      <c r="A982" s="8">
        <v>45201</v>
      </c>
      <c r="B982" s="3" t="s">
        <v>940</v>
      </c>
      <c r="C982" s="43" t="s">
        <v>84</v>
      </c>
      <c r="D982" s="13" t="s">
        <v>593</v>
      </c>
      <c r="E982" s="45"/>
      <c r="F982" s="44"/>
    </row>
    <row r="983" spans="1:6" x14ac:dyDescent="0.35">
      <c r="A983" s="8">
        <v>45201</v>
      </c>
      <c r="B983" s="3" t="s">
        <v>831</v>
      </c>
      <c r="C983" s="43" t="s">
        <v>84</v>
      </c>
      <c r="D983" s="24" t="s">
        <v>1022</v>
      </c>
      <c r="E983" s="45"/>
      <c r="F983" s="44"/>
    </row>
    <row r="984" spans="1:6" x14ac:dyDescent="0.35">
      <c r="A984" s="8">
        <v>45203</v>
      </c>
      <c r="B984" s="3" t="s">
        <v>803</v>
      </c>
      <c r="C984" s="43" t="s">
        <v>84</v>
      </c>
      <c r="D984" s="13" t="s">
        <v>593</v>
      </c>
      <c r="E984" s="45"/>
      <c r="F984" s="44"/>
    </row>
    <row r="985" spans="1:6" x14ac:dyDescent="0.35">
      <c r="A985" s="8">
        <v>45204</v>
      </c>
      <c r="B985" s="3" t="s">
        <v>941</v>
      </c>
      <c r="C985" s="43" t="s">
        <v>84</v>
      </c>
      <c r="D985" s="24" t="s">
        <v>781</v>
      </c>
      <c r="E985" s="44">
        <v>270.86</v>
      </c>
      <c r="F985" s="44">
        <v>325.02999999999997</v>
      </c>
    </row>
    <row r="986" spans="1:6" x14ac:dyDescent="0.35">
      <c r="A986" s="8">
        <v>45205</v>
      </c>
      <c r="B986" s="3" t="s">
        <v>756</v>
      </c>
      <c r="C986" s="43" t="s">
        <v>84</v>
      </c>
      <c r="D986" s="24" t="s">
        <v>795</v>
      </c>
      <c r="E986" s="45"/>
      <c r="F986" s="44"/>
    </row>
    <row r="987" spans="1:6" x14ac:dyDescent="0.35">
      <c r="A987" s="8">
        <v>45205</v>
      </c>
      <c r="B987" s="3" t="s">
        <v>942</v>
      </c>
      <c r="C987" s="43" t="s">
        <v>84</v>
      </c>
      <c r="D987" s="13" t="s">
        <v>593</v>
      </c>
      <c r="E987" s="45"/>
      <c r="F987" s="44"/>
    </row>
    <row r="988" spans="1:6" x14ac:dyDescent="0.35">
      <c r="A988" s="8">
        <v>45206</v>
      </c>
      <c r="B988" s="3" t="s">
        <v>943</v>
      </c>
      <c r="C988" s="43" t="s">
        <v>84</v>
      </c>
      <c r="D988" s="13" t="s">
        <v>593</v>
      </c>
      <c r="E988" s="45"/>
      <c r="F988" s="44"/>
    </row>
    <row r="989" spans="1:6" x14ac:dyDescent="0.35">
      <c r="A989" s="8">
        <v>45206</v>
      </c>
      <c r="B989" s="3" t="s">
        <v>944</v>
      </c>
      <c r="C989" s="43" t="s">
        <v>84</v>
      </c>
      <c r="D989" s="13" t="s">
        <v>593</v>
      </c>
      <c r="E989" s="45"/>
      <c r="F989" s="44"/>
    </row>
    <row r="990" spans="1:6" x14ac:dyDescent="0.35">
      <c r="A990" s="8">
        <v>45208</v>
      </c>
      <c r="B990" s="3" t="s">
        <v>888</v>
      </c>
      <c r="C990" s="43" t="s">
        <v>84</v>
      </c>
      <c r="D990" s="24" t="s">
        <v>1072</v>
      </c>
      <c r="E990" s="45"/>
      <c r="F990" s="44"/>
    </row>
    <row r="991" spans="1:6" x14ac:dyDescent="0.35">
      <c r="A991" s="8">
        <v>45208</v>
      </c>
      <c r="B991" s="3" t="s">
        <v>945</v>
      </c>
      <c r="C991" s="43" t="s">
        <v>84</v>
      </c>
      <c r="D991" s="13" t="s">
        <v>593</v>
      </c>
      <c r="E991" s="45"/>
      <c r="F991" s="44"/>
    </row>
    <row r="992" spans="1:6" x14ac:dyDescent="0.35">
      <c r="A992" s="8">
        <v>45209</v>
      </c>
      <c r="B992" s="3" t="s">
        <v>946</v>
      </c>
      <c r="C992" s="43" t="s">
        <v>84</v>
      </c>
      <c r="D992" s="24" t="s">
        <v>1079</v>
      </c>
      <c r="E992" s="44">
        <v>79.2</v>
      </c>
      <c r="F992" s="44">
        <v>94.04</v>
      </c>
    </row>
    <row r="993" spans="1:6" x14ac:dyDescent="0.35">
      <c r="A993" s="8">
        <v>45210</v>
      </c>
      <c r="B993" s="3" t="s">
        <v>947</v>
      </c>
      <c r="C993" s="43" t="s">
        <v>84</v>
      </c>
      <c r="D993" s="24" t="s">
        <v>1080</v>
      </c>
      <c r="E993" s="45"/>
      <c r="F993" s="44"/>
    </row>
    <row r="994" spans="1:6" x14ac:dyDescent="0.35">
      <c r="A994" s="8">
        <v>45210</v>
      </c>
      <c r="B994" s="3" t="s">
        <v>948</v>
      </c>
      <c r="C994" s="43" t="s">
        <v>84</v>
      </c>
      <c r="D994" s="24" t="s">
        <v>1081</v>
      </c>
      <c r="E994" s="45"/>
      <c r="F994" s="44"/>
    </row>
    <row r="995" spans="1:6" x14ac:dyDescent="0.35">
      <c r="A995" s="8">
        <v>45211</v>
      </c>
      <c r="B995" s="3" t="s">
        <v>949</v>
      </c>
      <c r="C995" s="43" t="s">
        <v>84</v>
      </c>
      <c r="D995" s="24" t="s">
        <v>790</v>
      </c>
      <c r="E995" s="45"/>
      <c r="F995" s="44"/>
    </row>
    <row r="996" spans="1:6" x14ac:dyDescent="0.35">
      <c r="A996" s="8">
        <v>45211</v>
      </c>
      <c r="B996" s="3" t="s">
        <v>950</v>
      </c>
      <c r="C996" s="43" t="s">
        <v>84</v>
      </c>
      <c r="D996" s="13" t="s">
        <v>593</v>
      </c>
      <c r="E996" s="45"/>
      <c r="F996" s="44"/>
    </row>
    <row r="997" spans="1:6" x14ac:dyDescent="0.35">
      <c r="A997" s="8">
        <v>45212</v>
      </c>
      <c r="B997" s="3" t="s">
        <v>951</v>
      </c>
      <c r="C997" s="43" t="s">
        <v>84</v>
      </c>
      <c r="D997" s="24" t="s">
        <v>782</v>
      </c>
      <c r="E997" s="45"/>
      <c r="F997" s="44"/>
    </row>
    <row r="998" spans="1:6" x14ac:dyDescent="0.35">
      <c r="A998" s="8">
        <v>45213</v>
      </c>
      <c r="B998" s="3" t="s">
        <v>952</v>
      </c>
      <c r="C998" s="43" t="s">
        <v>84</v>
      </c>
      <c r="D998" s="20" t="s">
        <v>1082</v>
      </c>
      <c r="E998" s="44">
        <v>594</v>
      </c>
      <c r="F998" s="44">
        <v>712.8</v>
      </c>
    </row>
    <row r="999" spans="1:6" x14ac:dyDescent="0.35">
      <c r="A999" s="8">
        <v>45213</v>
      </c>
      <c r="B999" s="3" t="s">
        <v>943</v>
      </c>
      <c r="C999" s="43" t="s">
        <v>84</v>
      </c>
      <c r="D999" s="20" t="s">
        <v>1083</v>
      </c>
      <c r="E999" s="45"/>
      <c r="F999" s="44"/>
    </row>
    <row r="1000" spans="1:6" x14ac:dyDescent="0.35">
      <c r="A1000" s="8">
        <v>45215</v>
      </c>
      <c r="B1000" s="3" t="s">
        <v>953</v>
      </c>
      <c r="C1000" s="43" t="s">
        <v>84</v>
      </c>
      <c r="D1000" s="13" t="s">
        <v>593</v>
      </c>
      <c r="E1000" s="45"/>
      <c r="F1000" s="44"/>
    </row>
    <row r="1001" spans="1:6" x14ac:dyDescent="0.35">
      <c r="A1001" s="8">
        <v>45215</v>
      </c>
      <c r="B1001" s="3" t="s">
        <v>902</v>
      </c>
      <c r="C1001" s="43" t="s">
        <v>84</v>
      </c>
      <c r="D1001" s="24" t="s">
        <v>1021</v>
      </c>
      <c r="E1001" s="45"/>
      <c r="F1001" s="44"/>
    </row>
    <row r="1002" spans="1:6" x14ac:dyDescent="0.35">
      <c r="A1002" s="8">
        <v>45215</v>
      </c>
      <c r="B1002" s="3" t="s">
        <v>809</v>
      </c>
      <c r="C1002" s="43" t="s">
        <v>84</v>
      </c>
      <c r="D1002" s="24" t="s">
        <v>1035</v>
      </c>
      <c r="E1002" s="45"/>
      <c r="F1002" s="44"/>
    </row>
    <row r="1003" spans="1:6" x14ac:dyDescent="0.35">
      <c r="A1003" s="8">
        <v>45216</v>
      </c>
      <c r="B1003" s="3" t="s">
        <v>954</v>
      </c>
      <c r="C1003" s="43" t="s">
        <v>84</v>
      </c>
      <c r="D1003" s="13" t="s">
        <v>593</v>
      </c>
      <c r="E1003" s="45"/>
      <c r="F1003" s="44"/>
    </row>
    <row r="1004" spans="1:6" x14ac:dyDescent="0.35">
      <c r="A1004" s="8">
        <v>45217</v>
      </c>
      <c r="B1004" s="3" t="s">
        <v>955</v>
      </c>
      <c r="C1004" s="43" t="s">
        <v>84</v>
      </c>
      <c r="D1004" s="3" t="s">
        <v>1084</v>
      </c>
      <c r="E1004" s="45"/>
      <c r="F1004" s="44"/>
    </row>
    <row r="1005" spans="1:6" x14ac:dyDescent="0.35">
      <c r="A1005" s="8">
        <v>45218</v>
      </c>
      <c r="B1005" s="3" t="s">
        <v>956</v>
      </c>
      <c r="C1005" s="57" t="s">
        <v>455</v>
      </c>
      <c r="D1005" s="13" t="s">
        <v>593</v>
      </c>
      <c r="E1005" s="45"/>
      <c r="F1005" s="44"/>
    </row>
    <row r="1006" spans="1:6" x14ac:dyDescent="0.35">
      <c r="A1006" s="8">
        <v>45218</v>
      </c>
      <c r="B1006" s="3" t="s">
        <v>683</v>
      </c>
      <c r="C1006" s="50" t="s">
        <v>84</v>
      </c>
      <c r="D1006" s="24" t="s">
        <v>764</v>
      </c>
      <c r="E1006" s="45"/>
      <c r="F1006" s="44" t="s">
        <v>800</v>
      </c>
    </row>
    <row r="1007" spans="1:6" x14ac:dyDescent="0.35">
      <c r="A1007" s="8">
        <v>45219</v>
      </c>
      <c r="B1007" s="3" t="s">
        <v>957</v>
      </c>
      <c r="C1007" s="43" t="s">
        <v>84</v>
      </c>
      <c r="D1007" s="24" t="s">
        <v>1085</v>
      </c>
      <c r="E1007" s="44">
        <v>135.43</v>
      </c>
      <c r="F1007" s="44">
        <v>162.52000000000001</v>
      </c>
    </row>
    <row r="1008" spans="1:6" x14ac:dyDescent="0.35">
      <c r="A1008" s="8">
        <v>45223</v>
      </c>
      <c r="B1008" s="3" t="s">
        <v>958</v>
      </c>
      <c r="C1008" s="43" t="s">
        <v>84</v>
      </c>
      <c r="D1008" s="13" t="s">
        <v>593</v>
      </c>
      <c r="E1008" s="45"/>
      <c r="F1008" s="44"/>
    </row>
    <row r="1009" spans="1:6" x14ac:dyDescent="0.35">
      <c r="A1009" s="8">
        <v>45224</v>
      </c>
      <c r="B1009" s="3" t="s">
        <v>959</v>
      </c>
      <c r="C1009" s="43" t="s">
        <v>84</v>
      </c>
      <c r="D1009" s="24" t="s">
        <v>1086</v>
      </c>
      <c r="E1009" s="45"/>
      <c r="F1009" s="44"/>
    </row>
    <row r="1010" spans="1:6" x14ac:dyDescent="0.35">
      <c r="A1010" s="8">
        <v>45229</v>
      </c>
      <c r="B1010" s="3" t="s">
        <v>888</v>
      </c>
      <c r="C1010" s="43" t="s">
        <v>84</v>
      </c>
      <c r="D1010" s="24" t="s">
        <v>1072</v>
      </c>
      <c r="E1010" s="45"/>
      <c r="F1010" s="44"/>
    </row>
    <row r="1011" spans="1:6" x14ac:dyDescent="0.35">
      <c r="A1011" s="8">
        <v>45233</v>
      </c>
      <c r="B1011" s="3" t="s">
        <v>960</v>
      </c>
      <c r="C1011" s="43" t="s">
        <v>84</v>
      </c>
      <c r="D1011" s="24" t="s">
        <v>1087</v>
      </c>
      <c r="E1011" s="45"/>
      <c r="F1011" s="44"/>
    </row>
    <row r="1012" spans="1:6" x14ac:dyDescent="0.35">
      <c r="A1012" s="8">
        <v>45236</v>
      </c>
      <c r="B1012" s="3" t="s">
        <v>961</v>
      </c>
      <c r="C1012" s="43" t="s">
        <v>84</v>
      </c>
      <c r="D1012" s="24" t="s">
        <v>1058</v>
      </c>
      <c r="E1012" s="45"/>
      <c r="F1012" s="44"/>
    </row>
    <row r="1013" spans="1:6" x14ac:dyDescent="0.35">
      <c r="A1013" s="8">
        <v>45236</v>
      </c>
      <c r="B1013" s="3" t="s">
        <v>859</v>
      </c>
      <c r="C1013" s="43" t="s">
        <v>84</v>
      </c>
      <c r="D1013" s="24" t="s">
        <v>1021</v>
      </c>
      <c r="E1013" s="45"/>
      <c r="F1013" s="44"/>
    </row>
    <row r="1014" spans="1:6" x14ac:dyDescent="0.35">
      <c r="A1014" s="8">
        <v>45236</v>
      </c>
      <c r="B1014" s="3" t="s">
        <v>950</v>
      </c>
      <c r="C1014" s="43" t="s">
        <v>84</v>
      </c>
      <c r="D1014" s="24" t="s">
        <v>1088</v>
      </c>
      <c r="E1014" s="45"/>
      <c r="F1014" s="44"/>
    </row>
    <row r="1015" spans="1:6" x14ac:dyDescent="0.35">
      <c r="A1015" s="8">
        <v>45236</v>
      </c>
      <c r="B1015" s="3" t="s">
        <v>962</v>
      </c>
      <c r="C1015" s="43" t="s">
        <v>84</v>
      </c>
      <c r="D1015" s="24" t="s">
        <v>1089</v>
      </c>
      <c r="E1015" s="45"/>
      <c r="F1015" s="44"/>
    </row>
    <row r="1016" spans="1:6" x14ac:dyDescent="0.35">
      <c r="A1016" s="8">
        <v>45237</v>
      </c>
      <c r="B1016" s="3" t="s">
        <v>963</v>
      </c>
      <c r="C1016" s="43" t="s">
        <v>84</v>
      </c>
      <c r="D1016" s="13" t="s">
        <v>593</v>
      </c>
      <c r="E1016" s="45"/>
      <c r="F1016" s="44"/>
    </row>
    <row r="1017" spans="1:6" x14ac:dyDescent="0.35">
      <c r="A1017" s="8">
        <v>45237</v>
      </c>
      <c r="B1017" s="3" t="s">
        <v>964</v>
      </c>
      <c r="C1017" s="43" t="s">
        <v>84</v>
      </c>
      <c r="D1017" s="24" t="s">
        <v>1090</v>
      </c>
      <c r="E1017" s="45"/>
      <c r="F1017" s="44"/>
    </row>
    <row r="1018" spans="1:6" x14ac:dyDescent="0.35">
      <c r="A1018" s="8">
        <v>45238</v>
      </c>
      <c r="B1018" s="3" t="s">
        <v>965</v>
      </c>
      <c r="C1018" s="43" t="s">
        <v>84</v>
      </c>
      <c r="D1018" s="24" t="s">
        <v>1091</v>
      </c>
      <c r="E1018" s="45"/>
      <c r="F1018" s="44" t="s">
        <v>800</v>
      </c>
    </row>
    <row r="1019" spans="1:6" x14ac:dyDescent="0.35">
      <c r="A1019" s="8">
        <v>45238</v>
      </c>
      <c r="B1019" s="3" t="s">
        <v>962</v>
      </c>
      <c r="C1019" s="43" t="s">
        <v>84</v>
      </c>
      <c r="D1019" s="24" t="s">
        <v>1089</v>
      </c>
      <c r="E1019" s="45"/>
      <c r="F1019" s="44"/>
    </row>
    <row r="1020" spans="1:6" x14ac:dyDescent="0.35">
      <c r="A1020" s="8">
        <v>45238</v>
      </c>
      <c r="B1020" s="3" t="s">
        <v>966</v>
      </c>
      <c r="C1020" s="43" t="s">
        <v>84</v>
      </c>
      <c r="D1020" s="24" t="s">
        <v>1092</v>
      </c>
      <c r="E1020" s="45"/>
      <c r="F1020" s="44"/>
    </row>
    <row r="1021" spans="1:6" x14ac:dyDescent="0.35">
      <c r="A1021" s="8">
        <v>45238</v>
      </c>
      <c r="B1021" s="3" t="s">
        <v>965</v>
      </c>
      <c r="C1021" s="43" t="s">
        <v>84</v>
      </c>
      <c r="D1021" s="24" t="s">
        <v>1088</v>
      </c>
      <c r="E1021" s="45"/>
      <c r="F1021" s="44"/>
    </row>
    <row r="1022" spans="1:6" x14ac:dyDescent="0.35">
      <c r="A1022" s="8">
        <v>45240</v>
      </c>
      <c r="B1022" s="3" t="s">
        <v>967</v>
      </c>
      <c r="C1022" s="43" t="s">
        <v>84</v>
      </c>
      <c r="D1022" s="24" t="s">
        <v>1093</v>
      </c>
      <c r="E1022" s="45"/>
      <c r="F1022" s="44" t="s">
        <v>800</v>
      </c>
    </row>
    <row r="1023" spans="1:6" x14ac:dyDescent="0.35">
      <c r="A1023" s="8">
        <v>45243</v>
      </c>
      <c r="B1023" s="3" t="s">
        <v>968</v>
      </c>
      <c r="C1023" s="43" t="s">
        <v>84</v>
      </c>
      <c r="D1023" s="24" t="s">
        <v>1094</v>
      </c>
      <c r="E1023" s="44">
        <v>158.4</v>
      </c>
      <c r="F1023" s="44">
        <v>190.08</v>
      </c>
    </row>
    <row r="1024" spans="1:6" x14ac:dyDescent="0.35">
      <c r="A1024" s="8">
        <v>45243</v>
      </c>
      <c r="B1024" s="3" t="s">
        <v>888</v>
      </c>
      <c r="C1024" s="43" t="s">
        <v>84</v>
      </c>
      <c r="D1024" s="24" t="s">
        <v>1072</v>
      </c>
      <c r="E1024" s="45"/>
      <c r="F1024" s="44"/>
    </row>
    <row r="1025" spans="1:6" x14ac:dyDescent="0.35">
      <c r="A1025" s="8">
        <v>45243</v>
      </c>
      <c r="B1025" s="3" t="s">
        <v>859</v>
      </c>
      <c r="C1025" s="43" t="s">
        <v>84</v>
      </c>
      <c r="D1025" s="24" t="s">
        <v>1021</v>
      </c>
      <c r="E1025" s="45"/>
      <c r="F1025" s="44"/>
    </row>
    <row r="1026" spans="1:6" x14ac:dyDescent="0.35">
      <c r="A1026" s="8">
        <v>45243</v>
      </c>
      <c r="B1026" s="3" t="s">
        <v>831</v>
      </c>
      <c r="C1026" s="43" t="s">
        <v>84</v>
      </c>
      <c r="D1026" s="24" t="s">
        <v>1022</v>
      </c>
      <c r="E1026" s="45"/>
      <c r="F1026" s="44"/>
    </row>
    <row r="1027" spans="1:6" x14ac:dyDescent="0.35">
      <c r="A1027" s="8">
        <v>45244</v>
      </c>
      <c r="B1027" s="3" t="s">
        <v>969</v>
      </c>
      <c r="C1027" s="43" t="s">
        <v>84</v>
      </c>
      <c r="D1027" s="24" t="s">
        <v>1048</v>
      </c>
      <c r="E1027" s="44">
        <v>406.29</v>
      </c>
      <c r="F1027" s="44">
        <v>487.55</v>
      </c>
    </row>
    <row r="1028" spans="1:6" x14ac:dyDescent="0.35">
      <c r="A1028" s="8">
        <v>45245</v>
      </c>
      <c r="B1028" s="3" t="s">
        <v>562</v>
      </c>
      <c r="C1028" s="43" t="s">
        <v>84</v>
      </c>
      <c r="D1028" s="24" t="s">
        <v>1095</v>
      </c>
      <c r="E1028" s="45"/>
      <c r="F1028" s="44"/>
    </row>
    <row r="1029" spans="1:6" x14ac:dyDescent="0.35">
      <c r="A1029" s="8">
        <v>45246</v>
      </c>
      <c r="B1029" s="3" t="s">
        <v>970</v>
      </c>
      <c r="C1029" s="43" t="s">
        <v>84</v>
      </c>
      <c r="D1029" s="24" t="s">
        <v>1032</v>
      </c>
      <c r="E1029" s="45"/>
      <c r="F1029" s="44"/>
    </row>
    <row r="1030" spans="1:6" x14ac:dyDescent="0.35">
      <c r="A1030" s="8">
        <v>45246</v>
      </c>
      <c r="B1030" s="3" t="s">
        <v>683</v>
      </c>
      <c r="C1030" s="43" t="s">
        <v>84</v>
      </c>
      <c r="D1030" s="24" t="s">
        <v>764</v>
      </c>
      <c r="E1030" s="45"/>
      <c r="F1030" s="44"/>
    </row>
    <row r="1031" spans="1:6" x14ac:dyDescent="0.35">
      <c r="A1031" s="8">
        <v>45247</v>
      </c>
      <c r="B1031" s="3" t="s">
        <v>971</v>
      </c>
      <c r="C1031" s="43" t="s">
        <v>84</v>
      </c>
      <c r="D1031" s="24" t="s">
        <v>1096</v>
      </c>
      <c r="E1031" s="44">
        <v>270.86</v>
      </c>
      <c r="F1031" s="44">
        <v>325.02999999999997</v>
      </c>
    </row>
    <row r="1032" spans="1:6" x14ac:dyDescent="0.35">
      <c r="A1032" s="8">
        <v>45248</v>
      </c>
      <c r="B1032" s="3" t="s">
        <v>972</v>
      </c>
      <c r="C1032" s="43" t="s">
        <v>84</v>
      </c>
      <c r="D1032" s="24" t="s">
        <v>1097</v>
      </c>
      <c r="E1032" s="44">
        <v>118.8</v>
      </c>
      <c r="F1032" s="44">
        <v>142.56</v>
      </c>
    </row>
    <row r="1033" spans="1:6" x14ac:dyDescent="0.35">
      <c r="A1033" s="8">
        <v>45250</v>
      </c>
      <c r="B1033" s="3" t="s">
        <v>888</v>
      </c>
      <c r="C1033" s="43" t="s">
        <v>84</v>
      </c>
      <c r="D1033" s="24" t="s">
        <v>1058</v>
      </c>
      <c r="E1033" s="45"/>
      <c r="F1033" s="44"/>
    </row>
    <row r="1034" spans="1:6" x14ac:dyDescent="0.35">
      <c r="A1034" s="8">
        <v>45250</v>
      </c>
      <c r="B1034" s="3" t="s">
        <v>859</v>
      </c>
      <c r="C1034" s="43" t="s">
        <v>84</v>
      </c>
      <c r="D1034" s="24" t="s">
        <v>1022</v>
      </c>
      <c r="E1034" s="45"/>
      <c r="F1034" s="44"/>
    </row>
    <row r="1035" spans="1:6" x14ac:dyDescent="0.35">
      <c r="A1035" s="8">
        <v>45250</v>
      </c>
      <c r="B1035" s="3" t="s">
        <v>973</v>
      </c>
      <c r="C1035" s="43" t="s">
        <v>84</v>
      </c>
      <c r="D1035" s="13" t="s">
        <v>593</v>
      </c>
      <c r="E1035" s="45"/>
      <c r="F1035" s="44"/>
    </row>
    <row r="1036" spans="1:6" x14ac:dyDescent="0.35">
      <c r="A1036" s="8">
        <v>45250</v>
      </c>
      <c r="B1036" s="3" t="s">
        <v>974</v>
      </c>
      <c r="C1036" s="43" t="s">
        <v>84</v>
      </c>
      <c r="D1036" s="24" t="s">
        <v>1022</v>
      </c>
      <c r="E1036" s="45"/>
      <c r="F1036" s="44"/>
    </row>
    <row r="1037" spans="1:6" x14ac:dyDescent="0.35">
      <c r="A1037" s="8">
        <v>45251</v>
      </c>
      <c r="B1037" s="3" t="s">
        <v>975</v>
      </c>
      <c r="C1037" s="43" t="s">
        <v>84</v>
      </c>
      <c r="D1037" s="13" t="s">
        <v>593</v>
      </c>
      <c r="E1037" s="45"/>
      <c r="F1037" s="44"/>
    </row>
    <row r="1038" spans="1:6" x14ac:dyDescent="0.35">
      <c r="A1038" s="8">
        <v>45251</v>
      </c>
      <c r="B1038" s="3" t="s">
        <v>976</v>
      </c>
      <c r="C1038" s="43" t="s">
        <v>84</v>
      </c>
      <c r="D1038" s="24" t="s">
        <v>1098</v>
      </c>
      <c r="E1038" s="45"/>
      <c r="F1038" s="44"/>
    </row>
    <row r="1039" spans="1:6" x14ac:dyDescent="0.35">
      <c r="A1039" s="8">
        <v>45253</v>
      </c>
      <c r="B1039" s="3" t="s">
        <v>977</v>
      </c>
      <c r="C1039" s="43" t="s">
        <v>84</v>
      </c>
      <c r="D1039" s="24" t="s">
        <v>1099</v>
      </c>
      <c r="E1039" s="45"/>
      <c r="F1039" s="44"/>
    </row>
    <row r="1040" spans="1:6" x14ac:dyDescent="0.35">
      <c r="A1040" s="8">
        <v>45254</v>
      </c>
      <c r="B1040" s="3" t="s">
        <v>978</v>
      </c>
      <c r="C1040" s="43" t="s">
        <v>84</v>
      </c>
      <c r="D1040" s="24" t="s">
        <v>1100</v>
      </c>
      <c r="E1040" s="45"/>
      <c r="F1040" s="44"/>
    </row>
    <row r="1041" spans="1:6" x14ac:dyDescent="0.35">
      <c r="A1041" s="8">
        <v>45254</v>
      </c>
      <c r="B1041" s="7" t="s">
        <v>979</v>
      </c>
      <c r="C1041" s="43" t="s">
        <v>84</v>
      </c>
      <c r="D1041" s="24" t="s">
        <v>772</v>
      </c>
      <c r="E1041" s="45"/>
      <c r="F1041" s="44"/>
    </row>
    <row r="1042" spans="1:6" x14ac:dyDescent="0.35">
      <c r="A1042" s="8">
        <v>45255</v>
      </c>
      <c r="B1042" s="7" t="s">
        <v>980</v>
      </c>
      <c r="C1042" s="43" t="s">
        <v>594</v>
      </c>
      <c r="D1042" s="24" t="s">
        <v>1101</v>
      </c>
      <c r="E1042" s="44">
        <v>1264</v>
      </c>
      <c r="F1042" s="44">
        <v>1516.8</v>
      </c>
    </row>
    <row r="1043" spans="1:6" x14ac:dyDescent="0.35">
      <c r="A1043" s="8">
        <v>45257</v>
      </c>
      <c r="B1043" s="3" t="s">
        <v>888</v>
      </c>
      <c r="C1043" s="41" t="s">
        <v>84</v>
      </c>
      <c r="D1043" s="24" t="s">
        <v>1058</v>
      </c>
      <c r="E1043" s="45"/>
      <c r="F1043" s="44"/>
    </row>
    <row r="1044" spans="1:6" x14ac:dyDescent="0.35">
      <c r="A1044" s="8">
        <v>45257</v>
      </c>
      <c r="B1044" s="3" t="s">
        <v>859</v>
      </c>
      <c r="C1044" s="43" t="s">
        <v>84</v>
      </c>
      <c r="D1044" s="24" t="s">
        <v>1021</v>
      </c>
      <c r="E1044" s="45"/>
      <c r="F1044" s="44"/>
    </row>
    <row r="1045" spans="1:6" x14ac:dyDescent="0.35">
      <c r="A1045" s="8">
        <v>45257</v>
      </c>
      <c r="B1045" s="3" t="s">
        <v>809</v>
      </c>
      <c r="C1045" s="43" t="s">
        <v>84</v>
      </c>
      <c r="D1045" s="24" t="s">
        <v>1022</v>
      </c>
      <c r="E1045" s="45"/>
      <c r="F1045" s="44"/>
    </row>
    <row r="1046" spans="1:6" x14ac:dyDescent="0.35">
      <c r="A1046" s="8">
        <v>45257</v>
      </c>
      <c r="B1046" s="3" t="s">
        <v>981</v>
      </c>
      <c r="C1046" s="43" t="s">
        <v>84</v>
      </c>
      <c r="D1046" s="24" t="s">
        <v>1102</v>
      </c>
      <c r="E1046" s="45"/>
      <c r="F1046" s="44"/>
    </row>
    <row r="1047" spans="1:6" x14ac:dyDescent="0.35">
      <c r="A1047" s="8">
        <v>45257</v>
      </c>
      <c r="B1047" s="3" t="s">
        <v>982</v>
      </c>
      <c r="C1047" s="43" t="s">
        <v>84</v>
      </c>
      <c r="D1047" s="13" t="s">
        <v>593</v>
      </c>
      <c r="E1047" s="45"/>
      <c r="F1047" s="44"/>
    </row>
    <row r="1048" spans="1:6" x14ac:dyDescent="0.35">
      <c r="A1048" s="8">
        <v>45257</v>
      </c>
      <c r="B1048" s="3" t="s">
        <v>983</v>
      </c>
      <c r="C1048" s="43" t="s">
        <v>84</v>
      </c>
      <c r="D1048" s="13" t="s">
        <v>593</v>
      </c>
      <c r="E1048" s="45"/>
      <c r="F1048" s="44"/>
    </row>
    <row r="1049" spans="1:6" x14ac:dyDescent="0.35">
      <c r="A1049" s="8">
        <v>45257</v>
      </c>
      <c r="B1049" s="3" t="s">
        <v>984</v>
      </c>
      <c r="C1049" s="43" t="s">
        <v>84</v>
      </c>
      <c r="D1049" s="13" t="s">
        <v>593</v>
      </c>
      <c r="E1049" s="45"/>
      <c r="F1049" s="44"/>
    </row>
    <row r="1050" spans="1:6" x14ac:dyDescent="0.35">
      <c r="A1050" s="8">
        <v>45258</v>
      </c>
      <c r="B1050" s="3" t="s">
        <v>985</v>
      </c>
      <c r="C1050" s="43" t="s">
        <v>84</v>
      </c>
      <c r="D1050" s="24" t="s">
        <v>1079</v>
      </c>
      <c r="E1050" s="45"/>
      <c r="F1050" s="44"/>
    </row>
    <row r="1051" spans="1:6" x14ac:dyDescent="0.35">
      <c r="A1051" s="8">
        <v>45258</v>
      </c>
      <c r="B1051" s="3" t="s">
        <v>986</v>
      </c>
      <c r="C1051" s="43" t="s">
        <v>84</v>
      </c>
      <c r="D1051" s="13" t="s">
        <v>593</v>
      </c>
      <c r="E1051" s="45"/>
      <c r="F1051" s="44"/>
    </row>
    <row r="1052" spans="1:6" x14ac:dyDescent="0.35">
      <c r="A1052" s="8">
        <v>45259</v>
      </c>
      <c r="B1052" s="3" t="s">
        <v>987</v>
      </c>
      <c r="C1052" s="43" t="s">
        <v>84</v>
      </c>
      <c r="D1052" s="24" t="s">
        <v>1103</v>
      </c>
      <c r="E1052" s="44">
        <v>338.96</v>
      </c>
      <c r="F1052" s="44">
        <v>406.75</v>
      </c>
    </row>
    <row r="1053" spans="1:6" x14ac:dyDescent="0.35">
      <c r="A1053" s="8">
        <v>45260</v>
      </c>
      <c r="B1053" s="3" t="s">
        <v>988</v>
      </c>
      <c r="C1053" s="43" t="s">
        <v>84</v>
      </c>
      <c r="D1053" s="13" t="s">
        <v>593</v>
      </c>
      <c r="E1053" s="45"/>
      <c r="F1053" s="44"/>
    </row>
    <row r="1054" spans="1:6" x14ac:dyDescent="0.35">
      <c r="A1054" s="8">
        <v>45260</v>
      </c>
      <c r="B1054" s="3" t="s">
        <v>852</v>
      </c>
      <c r="C1054" s="43" t="s">
        <v>84</v>
      </c>
      <c r="D1054" s="24" t="s">
        <v>1089</v>
      </c>
      <c r="E1054" s="45"/>
      <c r="F1054" s="44"/>
    </row>
    <row r="1055" spans="1:6" x14ac:dyDescent="0.35">
      <c r="A1055" s="8">
        <v>45261</v>
      </c>
      <c r="B1055" s="4" t="s">
        <v>989</v>
      </c>
      <c r="C1055" s="43" t="s">
        <v>84</v>
      </c>
      <c r="D1055" s="24" t="s">
        <v>1104</v>
      </c>
      <c r="E1055" s="45"/>
      <c r="F1055" s="44"/>
    </row>
    <row r="1056" spans="1:6" x14ac:dyDescent="0.35">
      <c r="A1056" s="8">
        <v>45264</v>
      </c>
      <c r="B1056" s="4" t="s">
        <v>990</v>
      </c>
      <c r="C1056" s="43" t="s">
        <v>84</v>
      </c>
      <c r="D1056" s="13" t="s">
        <v>593</v>
      </c>
      <c r="E1056" s="45"/>
      <c r="F1056" s="44"/>
    </row>
    <row r="1057" spans="1:6" x14ac:dyDescent="0.35">
      <c r="A1057" s="8">
        <v>45265</v>
      </c>
      <c r="B1057" s="3" t="s">
        <v>991</v>
      </c>
      <c r="C1057" s="43" t="s">
        <v>84</v>
      </c>
      <c r="D1057" s="13" t="s">
        <v>593</v>
      </c>
      <c r="E1057" s="45"/>
      <c r="F1057" s="44"/>
    </row>
    <row r="1058" spans="1:6" x14ac:dyDescent="0.35">
      <c r="A1058" s="8">
        <v>45266</v>
      </c>
      <c r="B1058" s="3" t="s">
        <v>992</v>
      </c>
      <c r="C1058" s="43" t="s">
        <v>84</v>
      </c>
      <c r="D1058" s="24" t="s">
        <v>1105</v>
      </c>
      <c r="E1058" s="45"/>
      <c r="F1058" s="44"/>
    </row>
    <row r="1059" spans="1:6" x14ac:dyDescent="0.35">
      <c r="A1059" s="8">
        <v>45267</v>
      </c>
      <c r="B1059" s="3" t="s">
        <v>993</v>
      </c>
      <c r="C1059" s="43" t="s">
        <v>84</v>
      </c>
      <c r="D1059" s="24" t="s">
        <v>795</v>
      </c>
      <c r="E1059" s="45"/>
      <c r="F1059" s="44"/>
    </row>
    <row r="1060" spans="1:6" x14ac:dyDescent="0.35">
      <c r="A1060" s="8">
        <v>45268</v>
      </c>
      <c r="B1060" s="3" t="s">
        <v>994</v>
      </c>
      <c r="C1060" s="43" t="s">
        <v>84</v>
      </c>
      <c r="D1060" s="24" t="s">
        <v>795</v>
      </c>
      <c r="E1060" s="45"/>
      <c r="F1060" s="44"/>
    </row>
    <row r="1061" spans="1:6" x14ac:dyDescent="0.35">
      <c r="A1061" s="8">
        <v>45271</v>
      </c>
      <c r="B1061" s="3" t="s">
        <v>995</v>
      </c>
      <c r="C1061" s="43" t="s">
        <v>84</v>
      </c>
      <c r="D1061" s="13" t="s">
        <v>593</v>
      </c>
      <c r="E1061" s="45"/>
      <c r="F1061" s="44"/>
    </row>
    <row r="1062" spans="1:6" x14ac:dyDescent="0.35">
      <c r="A1062" s="8">
        <v>45272</v>
      </c>
      <c r="B1062" s="3" t="s">
        <v>996</v>
      </c>
      <c r="C1062" s="43" t="s">
        <v>84</v>
      </c>
      <c r="D1062" s="13" t="s">
        <v>593</v>
      </c>
      <c r="E1062" s="45"/>
      <c r="F1062" s="44"/>
    </row>
    <row r="1063" spans="1:6" x14ac:dyDescent="0.35">
      <c r="A1063" s="8">
        <v>45272</v>
      </c>
      <c r="B1063" s="3" t="s">
        <v>997</v>
      </c>
      <c r="C1063" s="43" t="s">
        <v>84</v>
      </c>
      <c r="D1063" s="13" t="s">
        <v>593</v>
      </c>
      <c r="E1063" s="45"/>
      <c r="F1063" s="44"/>
    </row>
    <row r="1064" spans="1:6" x14ac:dyDescent="0.35">
      <c r="A1064" s="8">
        <v>45273</v>
      </c>
      <c r="B1064" s="3" t="s">
        <v>998</v>
      </c>
      <c r="C1064" s="43" t="s">
        <v>84</v>
      </c>
      <c r="D1064" s="13" t="s">
        <v>593</v>
      </c>
      <c r="E1064" s="45"/>
      <c r="F1064" s="44"/>
    </row>
    <row r="1065" spans="1:6" x14ac:dyDescent="0.35">
      <c r="A1065" s="8">
        <v>45273</v>
      </c>
      <c r="B1065" s="3" t="s">
        <v>999</v>
      </c>
      <c r="C1065" s="43" t="s">
        <v>84</v>
      </c>
      <c r="D1065" s="13" t="s">
        <v>593</v>
      </c>
      <c r="E1065" s="45"/>
      <c r="F1065" s="44"/>
    </row>
    <row r="1066" spans="1:6" x14ac:dyDescent="0.35">
      <c r="A1066" s="8">
        <v>45273</v>
      </c>
      <c r="B1066" s="3" t="s">
        <v>1000</v>
      </c>
      <c r="C1066" s="43" t="s">
        <v>84</v>
      </c>
      <c r="D1066" s="24" t="s">
        <v>1106</v>
      </c>
      <c r="E1066" s="45"/>
      <c r="F1066" s="44"/>
    </row>
    <row r="1067" spans="1:6" x14ac:dyDescent="0.35">
      <c r="A1067" s="8">
        <v>45273</v>
      </c>
      <c r="B1067" s="3" t="s">
        <v>1001</v>
      </c>
      <c r="C1067" s="43" t="s">
        <v>84</v>
      </c>
      <c r="D1067" s="13" t="s">
        <v>593</v>
      </c>
      <c r="E1067" s="45"/>
      <c r="F1067" s="44"/>
    </row>
    <row r="1068" spans="1:6" x14ac:dyDescent="0.35">
      <c r="A1068" s="8">
        <v>45273</v>
      </c>
      <c r="B1068" s="3" t="s">
        <v>690</v>
      </c>
      <c r="C1068" s="43" t="s">
        <v>84</v>
      </c>
      <c r="D1068" s="24" t="s">
        <v>1107</v>
      </c>
      <c r="E1068" s="45"/>
      <c r="F1068" s="44"/>
    </row>
    <row r="1069" spans="1:6" x14ac:dyDescent="0.35">
      <c r="A1069" s="8">
        <v>45273</v>
      </c>
      <c r="B1069" s="3" t="s">
        <v>1002</v>
      </c>
      <c r="C1069" s="43" t="s">
        <v>84</v>
      </c>
      <c r="D1069" s="24" t="s">
        <v>1108</v>
      </c>
      <c r="E1069" s="45"/>
      <c r="F1069" s="44"/>
    </row>
    <row r="1070" spans="1:6" x14ac:dyDescent="0.35">
      <c r="A1070" s="8">
        <v>45275</v>
      </c>
      <c r="B1070" s="3" t="s">
        <v>1003</v>
      </c>
      <c r="C1070" s="43" t="s">
        <v>84</v>
      </c>
      <c r="D1070" s="13" t="s">
        <v>593</v>
      </c>
      <c r="E1070" s="45"/>
      <c r="F1070" s="44"/>
    </row>
    <row r="1071" spans="1:6" x14ac:dyDescent="0.35">
      <c r="A1071" s="8">
        <v>45275</v>
      </c>
      <c r="B1071" s="3" t="s">
        <v>1004</v>
      </c>
      <c r="C1071" s="43" t="s">
        <v>84</v>
      </c>
      <c r="D1071" s="13" t="s">
        <v>593</v>
      </c>
      <c r="E1071" s="45"/>
      <c r="F1071" s="44"/>
    </row>
    <row r="1072" spans="1:6" x14ac:dyDescent="0.35">
      <c r="A1072" s="8">
        <v>45275</v>
      </c>
      <c r="B1072" s="3" t="s">
        <v>1005</v>
      </c>
      <c r="C1072" s="43" t="s">
        <v>84</v>
      </c>
      <c r="D1072" s="13" t="s">
        <v>593</v>
      </c>
      <c r="E1072" s="45"/>
      <c r="F1072" s="44"/>
    </row>
    <row r="1073" spans="1:6" x14ac:dyDescent="0.35">
      <c r="A1073" s="8">
        <v>45275</v>
      </c>
      <c r="B1073" s="3" t="s">
        <v>1006</v>
      </c>
      <c r="C1073" s="43" t="s">
        <v>84</v>
      </c>
      <c r="D1073" s="13" t="s">
        <v>593</v>
      </c>
      <c r="E1073" s="45"/>
      <c r="F1073" s="44"/>
    </row>
    <row r="1074" spans="1:6" x14ac:dyDescent="0.35">
      <c r="A1074" s="8">
        <v>45275</v>
      </c>
      <c r="B1074" s="3" t="s">
        <v>1007</v>
      </c>
      <c r="C1074" s="43" t="s">
        <v>84</v>
      </c>
      <c r="D1074" s="24" t="s">
        <v>1109</v>
      </c>
      <c r="E1074" s="45"/>
      <c r="F1074" s="44"/>
    </row>
    <row r="1075" spans="1:6" x14ac:dyDescent="0.35">
      <c r="A1075" s="8">
        <v>45278</v>
      </c>
      <c r="B1075" s="3" t="s">
        <v>1008</v>
      </c>
      <c r="C1075" s="43" t="s">
        <v>84</v>
      </c>
      <c r="D1075" s="13" t="s">
        <v>593</v>
      </c>
      <c r="E1075" s="45"/>
      <c r="F1075" s="44"/>
    </row>
    <row r="1076" spans="1:6" x14ac:dyDescent="0.35">
      <c r="A1076" s="8">
        <v>45278</v>
      </c>
      <c r="B1076" s="3" t="s">
        <v>1009</v>
      </c>
      <c r="C1076" s="43" t="s">
        <v>84</v>
      </c>
      <c r="D1076" s="24" t="s">
        <v>1110</v>
      </c>
      <c r="E1076" s="45"/>
      <c r="F1076" s="44"/>
    </row>
    <row r="1077" spans="1:6" x14ac:dyDescent="0.35">
      <c r="A1077" s="8">
        <v>45278</v>
      </c>
      <c r="B1077" s="3" t="s">
        <v>1010</v>
      </c>
      <c r="C1077" s="43" t="s">
        <v>84</v>
      </c>
      <c r="D1077" s="24" t="s">
        <v>1105</v>
      </c>
      <c r="E1077" s="45"/>
      <c r="F1077" s="44"/>
    </row>
    <row r="1078" spans="1:6" x14ac:dyDescent="0.35">
      <c r="A1078" s="8">
        <v>45279</v>
      </c>
      <c r="B1078" s="3" t="s">
        <v>1012</v>
      </c>
      <c r="C1078" s="57" t="s">
        <v>164</v>
      </c>
      <c r="D1078" s="24" t="s">
        <v>1112</v>
      </c>
      <c r="E1078" s="44">
        <v>2335.4299999999998</v>
      </c>
      <c r="F1078" s="44">
        <v>2802.52</v>
      </c>
    </row>
    <row r="1079" spans="1:6" x14ac:dyDescent="0.35">
      <c r="A1079" s="8">
        <v>45279</v>
      </c>
      <c r="B1079" s="3" t="s">
        <v>1011</v>
      </c>
      <c r="C1079" s="43" t="s">
        <v>84</v>
      </c>
      <c r="D1079" s="24" t="s">
        <v>1111</v>
      </c>
      <c r="E1079" s="45"/>
      <c r="F1079" s="44"/>
    </row>
    <row r="1080" spans="1:6" x14ac:dyDescent="0.35">
      <c r="A1080" s="8">
        <v>45279</v>
      </c>
      <c r="B1080" s="3" t="s">
        <v>1013</v>
      </c>
      <c r="C1080" s="11" t="s">
        <v>84</v>
      </c>
      <c r="D1080" s="24" t="s">
        <v>1113</v>
      </c>
      <c r="E1080" s="45"/>
      <c r="F1080" s="44"/>
    </row>
    <row r="1081" spans="1:6" x14ac:dyDescent="0.35">
      <c r="A1081" s="8">
        <v>45280</v>
      </c>
      <c r="B1081" s="3" t="s">
        <v>1014</v>
      </c>
      <c r="C1081" s="43" t="s">
        <v>84</v>
      </c>
      <c r="D1081" s="24" t="s">
        <v>1099</v>
      </c>
      <c r="E1081" s="45"/>
      <c r="F1081" s="44"/>
    </row>
    <row r="1082" spans="1:6" x14ac:dyDescent="0.35">
      <c r="A1082" s="8">
        <v>45280</v>
      </c>
      <c r="B1082" s="3" t="s">
        <v>1015</v>
      </c>
      <c r="C1082" s="43" t="s">
        <v>84</v>
      </c>
      <c r="D1082" s="24" t="s">
        <v>1114</v>
      </c>
      <c r="E1082" s="45"/>
      <c r="F1082" s="44"/>
    </row>
    <row r="1083" spans="1:6" x14ac:dyDescent="0.35">
      <c r="A1083" s="8">
        <v>45280</v>
      </c>
      <c r="B1083" s="13" t="s">
        <v>878</v>
      </c>
      <c r="C1083" s="43" t="s">
        <v>84</v>
      </c>
      <c r="D1083" s="24" t="s">
        <v>1115</v>
      </c>
      <c r="E1083" s="45"/>
      <c r="F1083" s="44"/>
    </row>
    <row r="1084" spans="1:6" x14ac:dyDescent="0.35">
      <c r="A1084" s="8">
        <v>45281</v>
      </c>
      <c r="B1084" s="4" t="s">
        <v>1016</v>
      </c>
      <c r="C1084" s="43" t="s">
        <v>84</v>
      </c>
      <c r="D1084" s="24" t="s">
        <v>1116</v>
      </c>
      <c r="E1084" s="45"/>
      <c r="F1084" s="44"/>
    </row>
    <row r="1085" spans="1:6" x14ac:dyDescent="0.35">
      <c r="A1085" s="8">
        <v>45281</v>
      </c>
      <c r="B1085" s="3" t="s">
        <v>683</v>
      </c>
      <c r="C1085" s="43" t="s">
        <v>84</v>
      </c>
      <c r="D1085" s="24" t="s">
        <v>764</v>
      </c>
      <c r="E1085" s="45"/>
      <c r="F1085" s="44"/>
    </row>
    <row r="1086" spans="1:6" x14ac:dyDescent="0.35">
      <c r="A1086" s="8">
        <v>45282</v>
      </c>
      <c r="B1086" s="3" t="s">
        <v>1017</v>
      </c>
      <c r="C1086" s="43" t="s">
        <v>84</v>
      </c>
      <c r="D1086" s="24" t="s">
        <v>1105</v>
      </c>
      <c r="E1086" s="45"/>
      <c r="F1086" s="44"/>
    </row>
    <row r="1087" spans="1:6" x14ac:dyDescent="0.35">
      <c r="A1087" s="8">
        <v>45282</v>
      </c>
      <c r="B1087" s="3" t="s">
        <v>1018</v>
      </c>
      <c r="C1087" s="43" t="s">
        <v>84</v>
      </c>
      <c r="D1087" s="24" t="s">
        <v>1117</v>
      </c>
      <c r="E1087" s="45"/>
      <c r="F1087" s="44"/>
    </row>
    <row r="1088" spans="1:6" x14ac:dyDescent="0.35">
      <c r="A1088" s="8">
        <v>45282</v>
      </c>
      <c r="B1088" s="3" t="s">
        <v>1019</v>
      </c>
      <c r="C1088" s="43" t="s">
        <v>84</v>
      </c>
      <c r="D1088" s="24" t="s">
        <v>1105</v>
      </c>
      <c r="E1088" s="45"/>
      <c r="F1088" s="44"/>
    </row>
    <row r="1089" spans="1:6" x14ac:dyDescent="0.35">
      <c r="A1089" s="87">
        <v>45299</v>
      </c>
      <c r="B1089" s="2" t="s">
        <v>1130</v>
      </c>
      <c r="C1089" s="2" t="s">
        <v>84</v>
      </c>
      <c r="D1089" s="2" t="s">
        <v>1089</v>
      </c>
      <c r="E1089" s="89"/>
      <c r="F1089" s="89"/>
    </row>
    <row r="1090" spans="1:6" x14ac:dyDescent="0.35">
      <c r="A1090" s="86">
        <v>45300</v>
      </c>
      <c r="B1090" s="2" t="s">
        <v>1130</v>
      </c>
      <c r="C1090" s="2" t="s">
        <v>84</v>
      </c>
      <c r="D1090" s="2" t="s">
        <v>1089</v>
      </c>
      <c r="E1090" s="89"/>
      <c r="F1090" s="89"/>
    </row>
    <row r="1091" spans="1:6" x14ac:dyDescent="0.35">
      <c r="A1091" s="87">
        <v>45301</v>
      </c>
      <c r="B1091" s="2" t="s">
        <v>1131</v>
      </c>
      <c r="C1091" s="2" t="s">
        <v>84</v>
      </c>
      <c r="D1091" s="2" t="s">
        <v>1116</v>
      </c>
      <c r="E1091" s="89"/>
      <c r="F1091" s="89"/>
    </row>
    <row r="1092" spans="1:6" x14ac:dyDescent="0.35">
      <c r="A1092" s="87">
        <v>45301</v>
      </c>
      <c r="B1092" s="2" t="s">
        <v>1132</v>
      </c>
      <c r="C1092" s="2" t="s">
        <v>84</v>
      </c>
      <c r="D1092" s="2" t="s">
        <v>1089</v>
      </c>
      <c r="E1092" s="89"/>
      <c r="F1092" s="89"/>
    </row>
    <row r="1093" spans="1:6" x14ac:dyDescent="0.35">
      <c r="A1093" s="87">
        <v>45302</v>
      </c>
      <c r="B1093" s="2" t="s">
        <v>1133</v>
      </c>
      <c r="C1093" s="2" t="s">
        <v>84</v>
      </c>
      <c r="D1093" s="2" t="s">
        <v>1066</v>
      </c>
      <c r="E1093" s="89"/>
      <c r="F1093" s="89"/>
    </row>
    <row r="1094" spans="1:6" x14ac:dyDescent="0.35">
      <c r="A1094" s="87">
        <v>45303</v>
      </c>
      <c r="B1094" s="2" t="s">
        <v>1134</v>
      </c>
      <c r="C1094" s="2" t="s">
        <v>84</v>
      </c>
      <c r="D1094" s="2" t="s">
        <v>1450</v>
      </c>
      <c r="E1094" s="89"/>
      <c r="F1094" s="89"/>
    </row>
    <row r="1095" spans="1:6" x14ac:dyDescent="0.35">
      <c r="A1095" s="87">
        <v>45303</v>
      </c>
      <c r="B1095" s="2" t="s">
        <v>1135</v>
      </c>
      <c r="C1095" s="2" t="s">
        <v>84</v>
      </c>
      <c r="D1095" s="2" t="s">
        <v>1451</v>
      </c>
      <c r="E1095" s="89"/>
      <c r="F1095" s="89"/>
    </row>
    <row r="1096" spans="1:6" x14ac:dyDescent="0.35">
      <c r="A1096" s="87">
        <v>45306</v>
      </c>
      <c r="B1096" s="2" t="s">
        <v>1136</v>
      </c>
      <c r="C1096" s="2" t="s">
        <v>84</v>
      </c>
      <c r="D1096" s="2" t="s">
        <v>1452</v>
      </c>
      <c r="E1096" s="89"/>
      <c r="F1096" s="89"/>
    </row>
    <row r="1097" spans="1:6" x14ac:dyDescent="0.35">
      <c r="A1097" s="87">
        <v>45306</v>
      </c>
      <c r="B1097" s="2" t="s">
        <v>1137</v>
      </c>
      <c r="C1097" s="2" t="s">
        <v>84</v>
      </c>
      <c r="D1097" s="2" t="s">
        <v>1453</v>
      </c>
      <c r="E1097" s="89"/>
      <c r="F1097" s="89"/>
    </row>
    <row r="1098" spans="1:6" x14ac:dyDescent="0.35">
      <c r="A1098" s="87">
        <v>45307</v>
      </c>
      <c r="B1098" s="2" t="s">
        <v>1132</v>
      </c>
      <c r="C1098" s="2" t="s">
        <v>84</v>
      </c>
      <c r="D1098" s="2" t="s">
        <v>1089</v>
      </c>
      <c r="E1098" s="89"/>
      <c r="F1098" s="89"/>
    </row>
    <row r="1099" spans="1:6" x14ac:dyDescent="0.35">
      <c r="A1099" s="87">
        <v>45307</v>
      </c>
      <c r="B1099" s="2" t="s">
        <v>1138</v>
      </c>
      <c r="C1099" s="2" t="s">
        <v>84</v>
      </c>
      <c r="D1099" s="2" t="s">
        <v>1454</v>
      </c>
      <c r="E1099" s="89"/>
      <c r="F1099" s="89"/>
    </row>
    <row r="1100" spans="1:6" x14ac:dyDescent="0.35">
      <c r="A1100" s="87">
        <v>45309</v>
      </c>
      <c r="B1100" s="2" t="s">
        <v>683</v>
      </c>
      <c r="C1100" s="2" t="s">
        <v>84</v>
      </c>
      <c r="D1100" s="2" t="s">
        <v>1455</v>
      </c>
      <c r="E1100" s="89"/>
      <c r="F1100" s="89"/>
    </row>
    <row r="1101" spans="1:6" x14ac:dyDescent="0.35">
      <c r="A1101" s="87">
        <v>45309</v>
      </c>
      <c r="B1101" s="2" t="s">
        <v>1139</v>
      </c>
      <c r="C1101" s="2" t="s">
        <v>84</v>
      </c>
      <c r="D1101" s="2" t="s">
        <v>1456</v>
      </c>
      <c r="E1101" s="89"/>
      <c r="F1101" s="89"/>
    </row>
    <row r="1102" spans="1:6" x14ac:dyDescent="0.35">
      <c r="A1102" s="87">
        <v>45310</v>
      </c>
      <c r="B1102" s="2" t="s">
        <v>1140</v>
      </c>
      <c r="C1102" s="2" t="s">
        <v>84</v>
      </c>
      <c r="D1102" s="2" t="s">
        <v>1457</v>
      </c>
      <c r="E1102" s="89"/>
      <c r="F1102" s="89"/>
    </row>
    <row r="1103" spans="1:6" x14ac:dyDescent="0.35">
      <c r="A1103" s="87">
        <v>45310</v>
      </c>
      <c r="B1103" s="2" t="s">
        <v>1139</v>
      </c>
      <c r="C1103" s="2" t="s">
        <v>84</v>
      </c>
      <c r="D1103" s="2" t="s">
        <v>1458</v>
      </c>
      <c r="E1103" s="89"/>
      <c r="F1103" s="89"/>
    </row>
    <row r="1104" spans="1:6" x14ac:dyDescent="0.35">
      <c r="A1104" s="87">
        <v>45310</v>
      </c>
      <c r="B1104" s="2" t="s">
        <v>1138</v>
      </c>
      <c r="C1104" s="2" t="s">
        <v>84</v>
      </c>
      <c r="D1104" s="2" t="s">
        <v>1454</v>
      </c>
      <c r="E1104" s="89"/>
      <c r="F1104" s="89"/>
    </row>
    <row r="1105" spans="1:6" x14ac:dyDescent="0.35">
      <c r="A1105" s="87">
        <v>45311</v>
      </c>
      <c r="B1105" s="2" t="s">
        <v>1141</v>
      </c>
      <c r="C1105" s="2" t="s">
        <v>84</v>
      </c>
      <c r="D1105" s="2" t="s">
        <v>1459</v>
      </c>
      <c r="E1105" s="89"/>
      <c r="F1105" s="89"/>
    </row>
    <row r="1106" spans="1:6" x14ac:dyDescent="0.35">
      <c r="A1106" s="87">
        <v>45313</v>
      </c>
      <c r="B1106" s="2" t="s">
        <v>1142</v>
      </c>
      <c r="C1106" s="2" t="s">
        <v>84</v>
      </c>
      <c r="D1106" s="2" t="s">
        <v>1460</v>
      </c>
      <c r="E1106" s="89"/>
      <c r="F1106" s="89"/>
    </row>
    <row r="1107" spans="1:6" x14ac:dyDescent="0.35">
      <c r="A1107" s="87">
        <v>45313</v>
      </c>
      <c r="B1107" s="2" t="s">
        <v>1143</v>
      </c>
      <c r="C1107" s="2" t="s">
        <v>84</v>
      </c>
      <c r="D1107" s="2" t="s">
        <v>1461</v>
      </c>
      <c r="E1107" s="89"/>
      <c r="F1107" s="89"/>
    </row>
    <row r="1108" spans="1:6" x14ac:dyDescent="0.35">
      <c r="A1108" s="87">
        <v>45313</v>
      </c>
      <c r="B1108" s="2" t="s">
        <v>831</v>
      </c>
      <c r="C1108" s="2" t="s">
        <v>84</v>
      </c>
      <c r="D1108" s="2" t="s">
        <v>1453</v>
      </c>
      <c r="E1108" s="89"/>
      <c r="F1108" s="89"/>
    </row>
    <row r="1109" spans="1:6" x14ac:dyDescent="0.35">
      <c r="A1109" s="87">
        <v>45313</v>
      </c>
      <c r="B1109" s="2" t="s">
        <v>1144</v>
      </c>
      <c r="C1109" s="2" t="s">
        <v>84</v>
      </c>
      <c r="D1109" s="2" t="s">
        <v>1462</v>
      </c>
      <c r="E1109" s="89"/>
      <c r="F1109" s="89"/>
    </row>
    <row r="1110" spans="1:6" x14ac:dyDescent="0.35">
      <c r="A1110" s="87">
        <v>45314</v>
      </c>
      <c r="B1110" s="2" t="s">
        <v>1145</v>
      </c>
      <c r="C1110" s="2" t="s">
        <v>84</v>
      </c>
      <c r="D1110" s="2" t="s">
        <v>1463</v>
      </c>
      <c r="E1110" s="89"/>
      <c r="F1110" s="89"/>
    </row>
    <row r="1111" spans="1:6" x14ac:dyDescent="0.35">
      <c r="A1111" s="87">
        <v>45315</v>
      </c>
      <c r="B1111" s="2" t="s">
        <v>1146</v>
      </c>
      <c r="C1111" s="2" t="s">
        <v>84</v>
      </c>
      <c r="D1111" s="2" t="s">
        <v>1464</v>
      </c>
      <c r="E1111" s="89"/>
      <c r="F1111" s="89"/>
    </row>
    <row r="1112" spans="1:6" x14ac:dyDescent="0.35">
      <c r="A1112" s="87">
        <v>45316</v>
      </c>
      <c r="B1112" s="2" t="s">
        <v>1147</v>
      </c>
      <c r="C1112" s="2" t="s">
        <v>84</v>
      </c>
      <c r="D1112" s="2" t="s">
        <v>1465</v>
      </c>
      <c r="E1112" s="89"/>
      <c r="F1112" s="89"/>
    </row>
    <row r="1113" spans="1:6" x14ac:dyDescent="0.35">
      <c r="A1113" s="87">
        <v>45317</v>
      </c>
      <c r="B1113" s="2" t="s">
        <v>1148</v>
      </c>
      <c r="C1113" s="2" t="s">
        <v>84</v>
      </c>
      <c r="D1113" s="2" t="s">
        <v>793</v>
      </c>
      <c r="E1113" s="89"/>
      <c r="F1113" s="89"/>
    </row>
    <row r="1114" spans="1:6" x14ac:dyDescent="0.35">
      <c r="A1114" s="87">
        <v>45320</v>
      </c>
      <c r="B1114" s="2" t="s">
        <v>1149</v>
      </c>
      <c r="C1114" s="2" t="s">
        <v>84</v>
      </c>
      <c r="D1114" s="2" t="s">
        <v>1466</v>
      </c>
      <c r="E1114" s="89"/>
      <c r="F1114" s="89"/>
    </row>
    <row r="1115" spans="1:6" x14ac:dyDescent="0.35">
      <c r="A1115" s="87">
        <v>45321</v>
      </c>
      <c r="B1115" s="2" t="s">
        <v>1150</v>
      </c>
      <c r="C1115" s="2" t="s">
        <v>84</v>
      </c>
      <c r="D1115" s="2" t="s">
        <v>1467</v>
      </c>
      <c r="E1115" s="89"/>
      <c r="F1115" s="89"/>
    </row>
    <row r="1116" spans="1:6" x14ac:dyDescent="0.35">
      <c r="A1116" s="87">
        <v>45322</v>
      </c>
      <c r="B1116" s="2" t="s">
        <v>1143</v>
      </c>
      <c r="C1116" s="2" t="s">
        <v>84</v>
      </c>
      <c r="D1116" s="2" t="s">
        <v>1461</v>
      </c>
      <c r="E1116" s="89"/>
      <c r="F1116" s="89"/>
    </row>
    <row r="1117" spans="1:6" x14ac:dyDescent="0.35">
      <c r="A1117" s="87">
        <v>45322</v>
      </c>
      <c r="B1117" s="2" t="s">
        <v>1150</v>
      </c>
      <c r="C1117" s="2" t="s">
        <v>84</v>
      </c>
      <c r="D1117" s="2" t="s">
        <v>1467</v>
      </c>
      <c r="E1117" s="89"/>
      <c r="F1117" s="89"/>
    </row>
    <row r="1118" spans="1:6" x14ac:dyDescent="0.35">
      <c r="A1118" s="87">
        <v>45322</v>
      </c>
      <c r="B1118" s="2" t="s">
        <v>1151</v>
      </c>
      <c r="C1118" s="2" t="s">
        <v>84</v>
      </c>
      <c r="D1118" s="2" t="s">
        <v>1099</v>
      </c>
      <c r="E1118" s="89"/>
      <c r="F1118" s="89"/>
    </row>
    <row r="1119" spans="1:6" x14ac:dyDescent="0.35">
      <c r="A1119" s="87">
        <v>45322</v>
      </c>
      <c r="B1119" s="2" t="s">
        <v>1152</v>
      </c>
      <c r="C1119" s="2" t="s">
        <v>84</v>
      </c>
      <c r="D1119" s="2" t="s">
        <v>1099</v>
      </c>
      <c r="E1119" s="89"/>
      <c r="F1119" s="89"/>
    </row>
    <row r="1120" spans="1:6" x14ac:dyDescent="0.35">
      <c r="A1120" s="87">
        <v>45323</v>
      </c>
      <c r="B1120" s="2" t="s">
        <v>1646</v>
      </c>
      <c r="C1120" s="2" t="s">
        <v>164</v>
      </c>
      <c r="D1120" s="2" t="s">
        <v>1656</v>
      </c>
      <c r="E1120" s="89">
        <v>3998</v>
      </c>
      <c r="F1120" s="89">
        <v>4797.5999999999995</v>
      </c>
    </row>
    <row r="1121" spans="1:6" x14ac:dyDescent="0.35">
      <c r="A1121" s="87">
        <v>45324</v>
      </c>
      <c r="B1121" s="2" t="s">
        <v>1153</v>
      </c>
      <c r="C1121" s="2" t="s">
        <v>84</v>
      </c>
      <c r="D1121" s="2" t="s">
        <v>1468</v>
      </c>
      <c r="E1121" s="89"/>
      <c r="F1121" s="89"/>
    </row>
    <row r="1122" spans="1:6" x14ac:dyDescent="0.35">
      <c r="A1122" s="87">
        <v>45327</v>
      </c>
      <c r="B1122" s="2" t="s">
        <v>1154</v>
      </c>
      <c r="C1122" s="2" t="s">
        <v>84</v>
      </c>
      <c r="D1122" s="2" t="s">
        <v>1058</v>
      </c>
      <c r="E1122" s="89"/>
      <c r="F1122" s="89"/>
    </row>
    <row r="1123" spans="1:6" x14ac:dyDescent="0.35">
      <c r="A1123" s="87">
        <v>45327</v>
      </c>
      <c r="B1123" s="2" t="s">
        <v>1155</v>
      </c>
      <c r="C1123" s="2" t="s">
        <v>84</v>
      </c>
      <c r="D1123" s="2" t="s">
        <v>1469</v>
      </c>
      <c r="E1123" s="89"/>
      <c r="F1123" s="89"/>
    </row>
    <row r="1124" spans="1:6" x14ac:dyDescent="0.35">
      <c r="A1124" s="87">
        <v>45327</v>
      </c>
      <c r="B1124" s="2" t="s">
        <v>1143</v>
      </c>
      <c r="C1124" s="2" t="s">
        <v>84</v>
      </c>
      <c r="D1124" s="2" t="s">
        <v>1461</v>
      </c>
      <c r="E1124" s="89"/>
      <c r="F1124" s="89"/>
    </row>
    <row r="1125" spans="1:6" x14ac:dyDescent="0.35">
      <c r="A1125" s="87">
        <v>45328</v>
      </c>
      <c r="B1125" s="2" t="s">
        <v>1156</v>
      </c>
      <c r="C1125" s="2" t="s">
        <v>84</v>
      </c>
      <c r="D1125" s="2" t="s">
        <v>1105</v>
      </c>
      <c r="E1125" s="89"/>
      <c r="F1125" s="89"/>
    </row>
    <row r="1126" spans="1:6" x14ac:dyDescent="0.35">
      <c r="A1126" s="87">
        <v>45328</v>
      </c>
      <c r="B1126" s="2" t="s">
        <v>1626</v>
      </c>
      <c r="C1126" s="2" t="s">
        <v>594</v>
      </c>
      <c r="D1126" s="2" t="s">
        <v>599</v>
      </c>
      <c r="E1126" s="89">
        <v>1670.8600000000001</v>
      </c>
      <c r="F1126" s="89">
        <v>2005.0320000000002</v>
      </c>
    </row>
    <row r="1127" spans="1:6" x14ac:dyDescent="0.35">
      <c r="A1127" s="87">
        <v>45329</v>
      </c>
      <c r="B1127" s="2" t="s">
        <v>1157</v>
      </c>
      <c r="C1127" s="2" t="s">
        <v>84</v>
      </c>
      <c r="D1127" s="2" t="s">
        <v>1458</v>
      </c>
      <c r="E1127" s="89"/>
      <c r="F1127" s="89"/>
    </row>
    <row r="1128" spans="1:6" x14ac:dyDescent="0.35">
      <c r="A1128" s="87">
        <v>45329</v>
      </c>
      <c r="B1128" s="2" t="s">
        <v>1143</v>
      </c>
      <c r="C1128" s="2" t="s">
        <v>84</v>
      </c>
      <c r="D1128" s="2" t="s">
        <v>1461</v>
      </c>
      <c r="E1128" s="89"/>
      <c r="F1128" s="89"/>
    </row>
    <row r="1129" spans="1:6" x14ac:dyDescent="0.35">
      <c r="A1129" s="87">
        <v>45329</v>
      </c>
      <c r="B1129" s="2" t="s">
        <v>1158</v>
      </c>
      <c r="C1129" s="2" t="s">
        <v>84</v>
      </c>
      <c r="D1129" s="2" t="s">
        <v>600</v>
      </c>
      <c r="E1129" s="89"/>
      <c r="F1129" s="89"/>
    </row>
    <row r="1130" spans="1:6" x14ac:dyDescent="0.35">
      <c r="A1130" s="87">
        <v>45330</v>
      </c>
      <c r="B1130" s="2" t="s">
        <v>1157</v>
      </c>
      <c r="C1130" s="2" t="s">
        <v>84</v>
      </c>
      <c r="D1130" s="2" t="s">
        <v>1458</v>
      </c>
      <c r="E1130" s="89"/>
      <c r="F1130" s="89"/>
    </row>
    <row r="1131" spans="1:6" x14ac:dyDescent="0.35">
      <c r="A1131" s="87">
        <v>45330</v>
      </c>
      <c r="B1131" s="2" t="s">
        <v>1132</v>
      </c>
      <c r="C1131" s="2" t="s">
        <v>84</v>
      </c>
      <c r="D1131" s="2" t="s">
        <v>1089</v>
      </c>
      <c r="E1131" s="89"/>
      <c r="F1131" s="89"/>
    </row>
    <row r="1132" spans="1:6" x14ac:dyDescent="0.35">
      <c r="A1132" s="87">
        <v>45330</v>
      </c>
      <c r="B1132" s="2" t="s">
        <v>1143</v>
      </c>
      <c r="C1132" s="2" t="s">
        <v>84</v>
      </c>
      <c r="D1132" s="2" t="s">
        <v>1461</v>
      </c>
      <c r="E1132" s="89"/>
      <c r="F1132" s="89"/>
    </row>
    <row r="1133" spans="1:6" x14ac:dyDescent="0.35">
      <c r="A1133" s="87">
        <v>45331</v>
      </c>
      <c r="B1133" s="2" t="s">
        <v>1159</v>
      </c>
      <c r="C1133" s="2" t="s">
        <v>84</v>
      </c>
      <c r="D1133" s="2" t="s">
        <v>1470</v>
      </c>
      <c r="E1133" s="89"/>
      <c r="F1133" s="89"/>
    </row>
    <row r="1134" spans="1:6" x14ac:dyDescent="0.35">
      <c r="A1134" s="87">
        <v>45331</v>
      </c>
      <c r="B1134" s="2" t="s">
        <v>1160</v>
      </c>
      <c r="C1134" s="2" t="s">
        <v>84</v>
      </c>
      <c r="D1134" s="2" t="s">
        <v>1471</v>
      </c>
      <c r="E1134" s="89"/>
      <c r="F1134" s="89"/>
    </row>
    <row r="1135" spans="1:6" x14ac:dyDescent="0.35">
      <c r="A1135" s="87">
        <v>45331</v>
      </c>
      <c r="B1135" s="2" t="s">
        <v>1636</v>
      </c>
      <c r="C1135" s="2" t="s">
        <v>229</v>
      </c>
      <c r="D1135" s="2" t="s">
        <v>1642</v>
      </c>
      <c r="E1135" s="89">
        <v>3590.28</v>
      </c>
      <c r="F1135" s="89">
        <v>4308.3360000000002</v>
      </c>
    </row>
    <row r="1136" spans="1:6" x14ac:dyDescent="0.35">
      <c r="A1136" s="87">
        <v>45334</v>
      </c>
      <c r="B1136" s="2" t="s">
        <v>1154</v>
      </c>
      <c r="C1136" s="2" t="s">
        <v>84</v>
      </c>
      <c r="D1136" s="2" t="s">
        <v>1058</v>
      </c>
      <c r="E1136" s="89"/>
      <c r="F1136" s="89"/>
    </row>
    <row r="1137" spans="1:6" x14ac:dyDescent="0.35">
      <c r="A1137" s="87">
        <v>45334</v>
      </c>
      <c r="B1137" s="2" t="s">
        <v>1161</v>
      </c>
      <c r="C1137" s="2" t="s">
        <v>84</v>
      </c>
      <c r="D1137" s="2" t="s">
        <v>1467</v>
      </c>
      <c r="E1137" s="89"/>
      <c r="F1137" s="89"/>
    </row>
    <row r="1138" spans="1:6" x14ac:dyDescent="0.35">
      <c r="A1138" s="87">
        <v>45334</v>
      </c>
      <c r="B1138" s="2" t="s">
        <v>1162</v>
      </c>
      <c r="C1138" s="2" t="s">
        <v>84</v>
      </c>
      <c r="D1138" s="2" t="s">
        <v>1099</v>
      </c>
      <c r="E1138" s="89"/>
      <c r="F1138" s="89"/>
    </row>
    <row r="1139" spans="1:6" x14ac:dyDescent="0.35">
      <c r="A1139" s="87">
        <v>45334</v>
      </c>
      <c r="B1139" s="2" t="s">
        <v>1163</v>
      </c>
      <c r="C1139" s="2" t="s">
        <v>84</v>
      </c>
      <c r="D1139" s="2" t="s">
        <v>1469</v>
      </c>
      <c r="E1139" s="89"/>
      <c r="F1139" s="89"/>
    </row>
    <row r="1140" spans="1:6" x14ac:dyDescent="0.35">
      <c r="A1140" s="87">
        <v>45335</v>
      </c>
      <c r="B1140" s="2" t="s">
        <v>1164</v>
      </c>
      <c r="C1140" s="2" t="s">
        <v>84</v>
      </c>
      <c r="D1140" s="2" t="s">
        <v>1058</v>
      </c>
      <c r="E1140" s="89"/>
      <c r="F1140" s="89"/>
    </row>
    <row r="1141" spans="1:6" x14ac:dyDescent="0.35">
      <c r="A1141" s="87">
        <v>45335</v>
      </c>
      <c r="B1141" s="2" t="s">
        <v>1647</v>
      </c>
      <c r="C1141" s="2" t="s">
        <v>164</v>
      </c>
      <c r="D1141" s="2" t="s">
        <v>1657</v>
      </c>
      <c r="E1141" s="89">
        <v>2380.56</v>
      </c>
      <c r="F1141" s="89">
        <v>2856.672</v>
      </c>
    </row>
    <row r="1142" spans="1:6" x14ac:dyDescent="0.35">
      <c r="A1142" s="87">
        <v>45336</v>
      </c>
      <c r="B1142" s="2" t="s">
        <v>1165</v>
      </c>
      <c r="C1142" s="2" t="s">
        <v>84</v>
      </c>
      <c r="D1142" s="2" t="s">
        <v>1472</v>
      </c>
      <c r="E1142" s="89"/>
      <c r="F1142" s="89"/>
    </row>
    <row r="1143" spans="1:6" x14ac:dyDescent="0.35">
      <c r="A1143" s="87">
        <v>45336</v>
      </c>
      <c r="B1143" s="2" t="s">
        <v>1143</v>
      </c>
      <c r="C1143" s="2" t="s">
        <v>84</v>
      </c>
      <c r="D1143" s="2" t="s">
        <v>1461</v>
      </c>
      <c r="E1143" s="89"/>
      <c r="F1143" s="89"/>
    </row>
    <row r="1144" spans="1:6" x14ac:dyDescent="0.35">
      <c r="A1144" s="87">
        <v>45337</v>
      </c>
      <c r="B1144" s="2" t="s">
        <v>683</v>
      </c>
      <c r="C1144" s="2" t="s">
        <v>84</v>
      </c>
      <c r="D1144" s="2" t="s">
        <v>1455</v>
      </c>
      <c r="E1144" s="89"/>
      <c r="F1144" s="89"/>
    </row>
    <row r="1145" spans="1:6" x14ac:dyDescent="0.35">
      <c r="A1145" s="87">
        <v>45337</v>
      </c>
      <c r="B1145" s="2" t="s">
        <v>1166</v>
      </c>
      <c r="C1145" s="2" t="s">
        <v>84</v>
      </c>
      <c r="D1145" s="2" t="s">
        <v>1473</v>
      </c>
      <c r="E1145" s="89"/>
      <c r="F1145" s="89"/>
    </row>
    <row r="1146" spans="1:6" x14ac:dyDescent="0.35">
      <c r="A1146" s="87">
        <v>45341</v>
      </c>
      <c r="B1146" s="2" t="s">
        <v>1143</v>
      </c>
      <c r="C1146" s="2" t="s">
        <v>84</v>
      </c>
      <c r="D1146" s="2" t="s">
        <v>1461</v>
      </c>
      <c r="E1146" s="89"/>
      <c r="F1146" s="89"/>
    </row>
    <row r="1147" spans="1:6" x14ac:dyDescent="0.35">
      <c r="A1147" s="87">
        <v>45341</v>
      </c>
      <c r="B1147" s="2" t="s">
        <v>1154</v>
      </c>
      <c r="C1147" s="2" t="s">
        <v>84</v>
      </c>
      <c r="D1147" s="2" t="s">
        <v>1058</v>
      </c>
      <c r="E1147" s="89"/>
      <c r="F1147" s="89"/>
    </row>
    <row r="1148" spans="1:6" x14ac:dyDescent="0.35">
      <c r="A1148" s="87">
        <v>45341</v>
      </c>
      <c r="B1148" s="2" t="s">
        <v>1161</v>
      </c>
      <c r="C1148" s="2" t="s">
        <v>84</v>
      </c>
      <c r="D1148" s="2" t="s">
        <v>1467</v>
      </c>
      <c r="E1148" s="89"/>
      <c r="F1148" s="89"/>
    </row>
    <row r="1149" spans="1:6" x14ac:dyDescent="0.35">
      <c r="A1149" s="87">
        <v>45341</v>
      </c>
      <c r="B1149" s="2" t="s">
        <v>831</v>
      </c>
      <c r="C1149" s="2" t="s">
        <v>84</v>
      </c>
      <c r="D1149" s="2" t="s">
        <v>1469</v>
      </c>
      <c r="E1149" s="89"/>
      <c r="F1149" s="89"/>
    </row>
    <row r="1150" spans="1:6" x14ac:dyDescent="0.35">
      <c r="A1150" s="87">
        <v>45342</v>
      </c>
      <c r="B1150" s="2" t="s">
        <v>1167</v>
      </c>
      <c r="C1150" s="2" t="s">
        <v>84</v>
      </c>
      <c r="D1150" s="2" t="s">
        <v>600</v>
      </c>
      <c r="E1150" s="89"/>
      <c r="F1150" s="89"/>
    </row>
    <row r="1151" spans="1:6" x14ac:dyDescent="0.35">
      <c r="A1151" s="87">
        <v>45345</v>
      </c>
      <c r="B1151" s="2" t="s">
        <v>1168</v>
      </c>
      <c r="C1151" s="2" t="s">
        <v>84</v>
      </c>
      <c r="D1151" s="2" t="s">
        <v>1109</v>
      </c>
      <c r="E1151" s="89"/>
      <c r="F1151" s="89"/>
    </row>
    <row r="1152" spans="1:6" x14ac:dyDescent="0.35">
      <c r="A1152" s="87">
        <v>45345</v>
      </c>
      <c r="B1152" s="2" t="s">
        <v>1169</v>
      </c>
      <c r="C1152" s="2" t="s">
        <v>84</v>
      </c>
      <c r="D1152" s="2" t="s">
        <v>1454</v>
      </c>
      <c r="E1152" s="89"/>
      <c r="F1152" s="89"/>
    </row>
    <row r="1153" spans="1:6" x14ac:dyDescent="0.35">
      <c r="A1153" s="87">
        <v>45348</v>
      </c>
      <c r="B1153" s="2" t="s">
        <v>1132</v>
      </c>
      <c r="C1153" s="2" t="s">
        <v>84</v>
      </c>
      <c r="D1153" s="2" t="s">
        <v>1089</v>
      </c>
      <c r="E1153" s="89"/>
      <c r="F1153" s="89"/>
    </row>
    <row r="1154" spans="1:6" x14ac:dyDescent="0.35">
      <c r="A1154" s="87">
        <v>45348</v>
      </c>
      <c r="B1154" s="2" t="s">
        <v>1170</v>
      </c>
      <c r="C1154" s="2" t="s">
        <v>84</v>
      </c>
      <c r="D1154" s="2" t="s">
        <v>1058</v>
      </c>
      <c r="E1154" s="89"/>
      <c r="F1154" s="89"/>
    </row>
    <row r="1155" spans="1:6" x14ac:dyDescent="0.35">
      <c r="A1155" s="87">
        <v>45348</v>
      </c>
      <c r="B1155" s="2" t="s">
        <v>1171</v>
      </c>
      <c r="C1155" s="2" t="s">
        <v>84</v>
      </c>
      <c r="D1155" s="2" t="s">
        <v>1089</v>
      </c>
      <c r="E1155" s="89"/>
      <c r="F1155" s="89"/>
    </row>
    <row r="1156" spans="1:6" x14ac:dyDescent="0.35">
      <c r="A1156" s="87">
        <v>45349</v>
      </c>
      <c r="B1156" s="2" t="s">
        <v>1172</v>
      </c>
      <c r="C1156" s="2" t="s">
        <v>84</v>
      </c>
      <c r="D1156" s="2" t="s">
        <v>1079</v>
      </c>
      <c r="E1156" s="89"/>
      <c r="F1156" s="89"/>
    </row>
    <row r="1157" spans="1:6" x14ac:dyDescent="0.35">
      <c r="A1157" s="87">
        <v>45349</v>
      </c>
      <c r="B1157" s="2" t="s">
        <v>1143</v>
      </c>
      <c r="C1157" s="2" t="s">
        <v>84</v>
      </c>
      <c r="D1157" s="2" t="s">
        <v>1461</v>
      </c>
      <c r="E1157" s="89"/>
      <c r="F1157" s="89"/>
    </row>
    <row r="1158" spans="1:6" x14ac:dyDescent="0.35">
      <c r="A1158" s="87">
        <v>45350</v>
      </c>
      <c r="B1158" s="2" t="s">
        <v>1173</v>
      </c>
      <c r="C1158" s="2" t="s">
        <v>84</v>
      </c>
      <c r="D1158" s="2" t="s">
        <v>1116</v>
      </c>
      <c r="E1158" s="89"/>
      <c r="F1158" s="89"/>
    </row>
    <row r="1159" spans="1:6" x14ac:dyDescent="0.35">
      <c r="A1159" s="87">
        <v>45350</v>
      </c>
      <c r="B1159" s="2" t="s">
        <v>1174</v>
      </c>
      <c r="C1159" s="2" t="s">
        <v>84</v>
      </c>
      <c r="D1159" s="2" t="s">
        <v>1116</v>
      </c>
      <c r="E1159" s="89"/>
      <c r="F1159" s="89"/>
    </row>
    <row r="1160" spans="1:6" x14ac:dyDescent="0.35">
      <c r="A1160" s="87">
        <v>45351</v>
      </c>
      <c r="B1160" s="2" t="s">
        <v>1175</v>
      </c>
      <c r="C1160" s="2" t="s">
        <v>84</v>
      </c>
      <c r="D1160" s="2" t="s">
        <v>1458</v>
      </c>
      <c r="E1160" s="89"/>
      <c r="F1160" s="89"/>
    </row>
    <row r="1161" spans="1:6" x14ac:dyDescent="0.35">
      <c r="A1161" s="87">
        <v>45351</v>
      </c>
      <c r="B1161" s="2" t="s">
        <v>1143</v>
      </c>
      <c r="C1161" s="2" t="s">
        <v>84</v>
      </c>
      <c r="D1161" s="2" t="s">
        <v>1461</v>
      </c>
      <c r="E1161" s="89"/>
      <c r="F1161" s="89"/>
    </row>
    <row r="1162" spans="1:6" x14ac:dyDescent="0.35">
      <c r="A1162" s="87">
        <v>45355</v>
      </c>
      <c r="B1162" s="2" t="s">
        <v>1132</v>
      </c>
      <c r="C1162" s="2" t="s">
        <v>84</v>
      </c>
      <c r="D1162" s="2" t="s">
        <v>1089</v>
      </c>
      <c r="E1162" s="89"/>
      <c r="F1162" s="89"/>
    </row>
    <row r="1163" spans="1:6" x14ac:dyDescent="0.35">
      <c r="A1163" s="87">
        <v>45355</v>
      </c>
      <c r="B1163" s="2" t="s">
        <v>1176</v>
      </c>
      <c r="C1163" s="2" t="s">
        <v>84</v>
      </c>
      <c r="D1163" s="2" t="s">
        <v>1089</v>
      </c>
      <c r="E1163" s="89"/>
      <c r="F1163" s="89"/>
    </row>
    <row r="1164" spans="1:6" x14ac:dyDescent="0.35">
      <c r="A1164" s="87">
        <v>45355</v>
      </c>
      <c r="B1164" s="2" t="s">
        <v>1161</v>
      </c>
      <c r="C1164" s="2" t="s">
        <v>84</v>
      </c>
      <c r="D1164" s="2" t="s">
        <v>1467</v>
      </c>
      <c r="E1164" s="89"/>
      <c r="F1164" s="89"/>
    </row>
    <row r="1165" spans="1:6" x14ac:dyDescent="0.35">
      <c r="A1165" s="87">
        <v>45355</v>
      </c>
      <c r="B1165" s="2" t="s">
        <v>1177</v>
      </c>
      <c r="C1165" s="2" t="s">
        <v>84</v>
      </c>
      <c r="D1165" s="2" t="s">
        <v>1105</v>
      </c>
      <c r="E1165" s="89"/>
      <c r="F1165" s="89"/>
    </row>
    <row r="1166" spans="1:6" x14ac:dyDescent="0.35">
      <c r="A1166" s="87">
        <v>45356</v>
      </c>
      <c r="B1166" s="2" t="s">
        <v>1132</v>
      </c>
      <c r="C1166" s="2" t="s">
        <v>84</v>
      </c>
      <c r="D1166" s="2" t="s">
        <v>1089</v>
      </c>
      <c r="E1166" s="89"/>
      <c r="F1166" s="89"/>
    </row>
    <row r="1167" spans="1:6" x14ac:dyDescent="0.35">
      <c r="A1167" s="87">
        <v>45356</v>
      </c>
      <c r="B1167" s="2" t="s">
        <v>1178</v>
      </c>
      <c r="C1167" s="2" t="s">
        <v>84</v>
      </c>
      <c r="D1167" s="2" t="s">
        <v>1099</v>
      </c>
      <c r="E1167" s="89"/>
      <c r="F1167" s="89"/>
    </row>
    <row r="1168" spans="1:6" x14ac:dyDescent="0.35">
      <c r="A1168" s="87">
        <v>45356</v>
      </c>
      <c r="B1168" s="2" t="s">
        <v>1179</v>
      </c>
      <c r="C1168" s="2" t="s">
        <v>84</v>
      </c>
      <c r="D1168" s="2" t="s">
        <v>1474</v>
      </c>
      <c r="E1168" s="89"/>
      <c r="F1168" s="89"/>
    </row>
    <row r="1169" spans="1:6" x14ac:dyDescent="0.35">
      <c r="A1169" s="87">
        <v>45357</v>
      </c>
      <c r="B1169" s="2" t="s">
        <v>1180</v>
      </c>
      <c r="C1169" s="2" t="s">
        <v>84</v>
      </c>
      <c r="D1169" s="2" t="s">
        <v>1475</v>
      </c>
      <c r="E1169" s="89"/>
      <c r="F1169" s="89"/>
    </row>
    <row r="1170" spans="1:6" x14ac:dyDescent="0.35">
      <c r="A1170" s="87">
        <v>45358</v>
      </c>
      <c r="B1170" s="2" t="s">
        <v>1181</v>
      </c>
      <c r="C1170" s="2" t="s">
        <v>84</v>
      </c>
      <c r="D1170" s="2" t="s">
        <v>1476</v>
      </c>
      <c r="E1170" s="89"/>
      <c r="F1170" s="89"/>
    </row>
    <row r="1171" spans="1:6" x14ac:dyDescent="0.35">
      <c r="A1171" s="87">
        <v>45358</v>
      </c>
      <c r="B1171" s="2" t="s">
        <v>1176</v>
      </c>
      <c r="C1171" s="2" t="s">
        <v>84</v>
      </c>
      <c r="D1171" s="2" t="s">
        <v>1089</v>
      </c>
      <c r="E1171" s="89"/>
      <c r="F1171" s="89"/>
    </row>
    <row r="1172" spans="1:6" x14ac:dyDescent="0.35">
      <c r="A1172" s="87">
        <v>45358</v>
      </c>
      <c r="B1172" s="2" t="s">
        <v>1182</v>
      </c>
      <c r="C1172" s="2" t="s">
        <v>84</v>
      </c>
      <c r="D1172" s="2" t="s">
        <v>1477</v>
      </c>
      <c r="E1172" s="89"/>
      <c r="F1172" s="89"/>
    </row>
    <row r="1173" spans="1:6" x14ac:dyDescent="0.35">
      <c r="A1173" s="87">
        <v>45359</v>
      </c>
      <c r="B1173" s="2" t="s">
        <v>1183</v>
      </c>
      <c r="C1173" s="2" t="s">
        <v>84</v>
      </c>
      <c r="D1173" s="2" t="s">
        <v>1028</v>
      </c>
      <c r="E1173" s="89"/>
      <c r="F1173" s="89"/>
    </row>
    <row r="1174" spans="1:6" x14ac:dyDescent="0.35">
      <c r="A1174" s="87">
        <v>45362</v>
      </c>
      <c r="B1174" s="2" t="s">
        <v>1161</v>
      </c>
      <c r="C1174" s="2" t="s">
        <v>84</v>
      </c>
      <c r="D1174" s="2" t="s">
        <v>1467</v>
      </c>
      <c r="E1174" s="89"/>
      <c r="F1174" s="89"/>
    </row>
    <row r="1175" spans="1:6" x14ac:dyDescent="0.35">
      <c r="A1175" s="87">
        <v>45362</v>
      </c>
      <c r="B1175" s="2" t="s">
        <v>1184</v>
      </c>
      <c r="C1175" s="2" t="s">
        <v>84</v>
      </c>
      <c r="D1175" s="2" t="s">
        <v>1478</v>
      </c>
      <c r="E1175" s="89"/>
      <c r="F1175" s="89"/>
    </row>
    <row r="1176" spans="1:6" x14ac:dyDescent="0.35">
      <c r="A1176" s="87">
        <v>45362</v>
      </c>
      <c r="B1176" s="2" t="s">
        <v>1163</v>
      </c>
      <c r="C1176" s="2" t="s">
        <v>84</v>
      </c>
      <c r="D1176" s="2" t="s">
        <v>1469</v>
      </c>
      <c r="E1176" s="89"/>
      <c r="F1176" s="89"/>
    </row>
    <row r="1177" spans="1:6" x14ac:dyDescent="0.35">
      <c r="A1177" s="87">
        <v>45363</v>
      </c>
      <c r="B1177" s="2" t="s">
        <v>1145</v>
      </c>
      <c r="C1177" s="2" t="s">
        <v>84</v>
      </c>
      <c r="D1177" s="2" t="s">
        <v>1479</v>
      </c>
      <c r="E1177" s="89"/>
      <c r="F1177" s="89"/>
    </row>
    <row r="1178" spans="1:6" x14ac:dyDescent="0.35">
      <c r="A1178" s="87">
        <v>45363</v>
      </c>
      <c r="B1178" s="2" t="s">
        <v>1185</v>
      </c>
      <c r="C1178" s="2" t="s">
        <v>84</v>
      </c>
      <c r="D1178" s="2" t="s">
        <v>1480</v>
      </c>
      <c r="E1178" s="89"/>
      <c r="F1178" s="89"/>
    </row>
    <row r="1179" spans="1:6" x14ac:dyDescent="0.35">
      <c r="A1179" s="87">
        <v>45363</v>
      </c>
      <c r="B1179" s="2" t="s">
        <v>1186</v>
      </c>
      <c r="C1179" s="2" t="s">
        <v>84</v>
      </c>
      <c r="D1179" s="2" t="s">
        <v>1058</v>
      </c>
      <c r="E1179" s="89"/>
      <c r="F1179" s="89"/>
    </row>
    <row r="1180" spans="1:6" x14ac:dyDescent="0.35">
      <c r="A1180" s="87">
        <v>45365</v>
      </c>
      <c r="B1180" s="2" t="s">
        <v>1187</v>
      </c>
      <c r="C1180" s="2" t="s">
        <v>84</v>
      </c>
      <c r="D1180" s="2" t="s">
        <v>1481</v>
      </c>
      <c r="E1180" s="89"/>
      <c r="F1180" s="89"/>
    </row>
    <row r="1181" spans="1:6" x14ac:dyDescent="0.35">
      <c r="A1181" s="87">
        <v>45365</v>
      </c>
      <c r="B1181" s="2" t="s">
        <v>1188</v>
      </c>
      <c r="C1181" s="2" t="s">
        <v>84</v>
      </c>
      <c r="D1181" s="2" t="s">
        <v>1482</v>
      </c>
      <c r="E1181" s="89"/>
      <c r="F1181" s="89"/>
    </row>
    <row r="1182" spans="1:6" x14ac:dyDescent="0.35">
      <c r="A1182" s="87">
        <v>45365</v>
      </c>
      <c r="B1182" s="2" t="s">
        <v>1189</v>
      </c>
      <c r="C1182" s="2" t="s">
        <v>84</v>
      </c>
      <c r="D1182" s="2" t="s">
        <v>1483</v>
      </c>
      <c r="E1182" s="89"/>
      <c r="F1182" s="89"/>
    </row>
    <row r="1183" spans="1:6" x14ac:dyDescent="0.35">
      <c r="A1183" s="87">
        <v>45365</v>
      </c>
      <c r="B1183" s="2" t="s">
        <v>1190</v>
      </c>
      <c r="C1183" s="2" t="s">
        <v>84</v>
      </c>
      <c r="D1183" s="2" t="s">
        <v>1469</v>
      </c>
      <c r="E1183" s="89"/>
      <c r="F1183" s="89"/>
    </row>
    <row r="1184" spans="1:6" x14ac:dyDescent="0.35">
      <c r="A1184" s="87">
        <v>45366</v>
      </c>
      <c r="B1184" s="2" t="s">
        <v>1191</v>
      </c>
      <c r="C1184" s="2" t="s">
        <v>84</v>
      </c>
      <c r="D1184" s="2" t="s">
        <v>1469</v>
      </c>
      <c r="E1184" s="89"/>
      <c r="F1184" s="89"/>
    </row>
    <row r="1185" spans="1:6" x14ac:dyDescent="0.35">
      <c r="A1185" s="87">
        <v>45369</v>
      </c>
      <c r="B1185" s="2" t="s">
        <v>1192</v>
      </c>
      <c r="C1185" s="2" t="s">
        <v>84</v>
      </c>
      <c r="D1185" s="2" t="s">
        <v>1458</v>
      </c>
      <c r="E1185" s="89"/>
      <c r="F1185" s="89"/>
    </row>
    <row r="1186" spans="1:6" x14ac:dyDescent="0.35">
      <c r="A1186" s="87">
        <v>45370</v>
      </c>
      <c r="B1186" s="2" t="s">
        <v>1193</v>
      </c>
      <c r="C1186" s="2" t="s">
        <v>84</v>
      </c>
      <c r="D1186" s="2" t="s">
        <v>1042</v>
      </c>
      <c r="E1186" s="89"/>
      <c r="F1186" s="89"/>
    </row>
    <row r="1187" spans="1:6" x14ac:dyDescent="0.35">
      <c r="A1187" s="87">
        <v>45371</v>
      </c>
      <c r="B1187" s="2" t="s">
        <v>1187</v>
      </c>
      <c r="C1187" s="2" t="s">
        <v>84</v>
      </c>
      <c r="D1187" s="2" t="s">
        <v>1099</v>
      </c>
      <c r="E1187" s="89"/>
      <c r="F1187" s="89"/>
    </row>
    <row r="1188" spans="1:6" x14ac:dyDescent="0.35">
      <c r="A1188" s="87">
        <v>45372</v>
      </c>
      <c r="B1188" s="2" t="s">
        <v>1194</v>
      </c>
      <c r="C1188" s="2" t="s">
        <v>84</v>
      </c>
      <c r="D1188" s="2" t="s">
        <v>1484</v>
      </c>
      <c r="E1188" s="89"/>
      <c r="F1188" s="89"/>
    </row>
    <row r="1189" spans="1:6" x14ac:dyDescent="0.35">
      <c r="A1189" s="87">
        <v>45372</v>
      </c>
      <c r="B1189" s="2" t="s">
        <v>1195</v>
      </c>
      <c r="C1189" s="2" t="s">
        <v>84</v>
      </c>
      <c r="D1189" s="2" t="s">
        <v>1485</v>
      </c>
      <c r="E1189" s="89"/>
      <c r="F1189" s="89"/>
    </row>
    <row r="1190" spans="1:6" x14ac:dyDescent="0.35">
      <c r="A1190" s="87">
        <v>45372</v>
      </c>
      <c r="B1190" s="2" t="s">
        <v>1196</v>
      </c>
      <c r="C1190" s="2" t="s">
        <v>84</v>
      </c>
      <c r="D1190" s="2" t="s">
        <v>1486</v>
      </c>
      <c r="E1190" s="89"/>
      <c r="F1190" s="89"/>
    </row>
    <row r="1191" spans="1:6" x14ac:dyDescent="0.35">
      <c r="A1191" s="87">
        <v>45374</v>
      </c>
      <c r="B1191" s="2" t="s">
        <v>1197</v>
      </c>
      <c r="C1191" s="2" t="s">
        <v>84</v>
      </c>
      <c r="D1191" s="2" t="s">
        <v>603</v>
      </c>
      <c r="E1191" s="89"/>
      <c r="F1191" s="89"/>
    </row>
    <row r="1192" spans="1:6" x14ac:dyDescent="0.35">
      <c r="A1192" s="87">
        <v>45376</v>
      </c>
      <c r="B1192" s="2" t="s">
        <v>1198</v>
      </c>
      <c r="C1192" s="2" t="s">
        <v>84</v>
      </c>
      <c r="D1192" s="2" t="s">
        <v>1487</v>
      </c>
      <c r="E1192" s="89"/>
      <c r="F1192" s="89"/>
    </row>
    <row r="1193" spans="1:6" x14ac:dyDescent="0.35">
      <c r="A1193" s="87">
        <v>45376</v>
      </c>
      <c r="B1193" s="2" t="s">
        <v>1199</v>
      </c>
      <c r="C1193" s="2" t="s">
        <v>84</v>
      </c>
      <c r="D1193" s="2" t="s">
        <v>1488</v>
      </c>
      <c r="E1193" s="89"/>
      <c r="F1193" s="89"/>
    </row>
    <row r="1194" spans="1:6" x14ac:dyDescent="0.35">
      <c r="A1194" s="87">
        <v>45376</v>
      </c>
      <c r="B1194" s="2" t="s">
        <v>1200</v>
      </c>
      <c r="C1194" s="2" t="s">
        <v>84</v>
      </c>
      <c r="D1194" s="2" t="s">
        <v>1469</v>
      </c>
      <c r="E1194" s="89"/>
      <c r="F1194" s="89"/>
    </row>
    <row r="1195" spans="1:6" x14ac:dyDescent="0.35">
      <c r="A1195" s="87">
        <v>45376</v>
      </c>
      <c r="B1195" s="2" t="s">
        <v>1637</v>
      </c>
      <c r="C1195" s="2" t="s">
        <v>229</v>
      </c>
      <c r="D1195" s="2" t="s">
        <v>1643</v>
      </c>
      <c r="E1195" s="89">
        <v>300</v>
      </c>
      <c r="F1195" s="89">
        <v>360</v>
      </c>
    </row>
    <row r="1196" spans="1:6" x14ac:dyDescent="0.35">
      <c r="A1196" s="87">
        <v>45377</v>
      </c>
      <c r="B1196" s="2" t="s">
        <v>1143</v>
      </c>
      <c r="C1196" s="2" t="s">
        <v>84</v>
      </c>
      <c r="D1196" s="2" t="s">
        <v>1461</v>
      </c>
      <c r="E1196" s="89"/>
      <c r="F1196" s="89"/>
    </row>
    <row r="1197" spans="1:6" x14ac:dyDescent="0.35">
      <c r="A1197" s="87">
        <v>45377</v>
      </c>
      <c r="B1197" s="2" t="s">
        <v>1201</v>
      </c>
      <c r="C1197" s="2" t="s">
        <v>84</v>
      </c>
      <c r="D1197" s="2" t="s">
        <v>1469</v>
      </c>
      <c r="E1197" s="89"/>
      <c r="F1197" s="89"/>
    </row>
    <row r="1198" spans="1:6" x14ac:dyDescent="0.35">
      <c r="A1198" s="87">
        <v>45378</v>
      </c>
      <c r="B1198" s="2" t="s">
        <v>1143</v>
      </c>
      <c r="C1198" s="2" t="s">
        <v>84</v>
      </c>
      <c r="D1198" s="2" t="s">
        <v>1461</v>
      </c>
      <c r="E1198" s="89"/>
      <c r="F1198" s="89"/>
    </row>
    <row r="1199" spans="1:6" x14ac:dyDescent="0.35">
      <c r="A1199" s="87">
        <v>45378</v>
      </c>
      <c r="B1199" s="2" t="s">
        <v>1202</v>
      </c>
      <c r="C1199" s="2" t="s">
        <v>84</v>
      </c>
      <c r="D1199" s="2" t="s">
        <v>1489</v>
      </c>
      <c r="E1199" s="89"/>
      <c r="F1199" s="89"/>
    </row>
    <row r="1200" spans="1:6" x14ac:dyDescent="0.35">
      <c r="A1200" s="87">
        <v>45378</v>
      </c>
      <c r="B1200" s="2" t="s">
        <v>1203</v>
      </c>
      <c r="C1200" s="2" t="s">
        <v>84</v>
      </c>
      <c r="D1200" s="2" t="s">
        <v>1058</v>
      </c>
      <c r="E1200" s="89"/>
      <c r="F1200" s="89"/>
    </row>
    <row r="1201" spans="1:6" x14ac:dyDescent="0.35">
      <c r="A1201" s="87">
        <v>45378</v>
      </c>
      <c r="B1201" s="2" t="s">
        <v>1204</v>
      </c>
      <c r="C1201" s="2" t="s">
        <v>84</v>
      </c>
      <c r="D1201" s="2" t="s">
        <v>1467</v>
      </c>
      <c r="E1201" s="89"/>
      <c r="F1201" s="89"/>
    </row>
    <row r="1202" spans="1:6" x14ac:dyDescent="0.35">
      <c r="A1202" s="87">
        <v>45379</v>
      </c>
      <c r="B1202" s="2" t="s">
        <v>1205</v>
      </c>
      <c r="C1202" s="2" t="s">
        <v>84</v>
      </c>
      <c r="D1202" s="2" t="s">
        <v>1490</v>
      </c>
      <c r="E1202" s="89"/>
      <c r="F1202" s="89"/>
    </row>
    <row r="1203" spans="1:6" x14ac:dyDescent="0.35">
      <c r="A1203" s="87">
        <v>45379</v>
      </c>
      <c r="B1203" s="2" t="s">
        <v>1169</v>
      </c>
      <c r="C1203" s="2" t="s">
        <v>84</v>
      </c>
      <c r="D1203" s="2" t="s">
        <v>1454</v>
      </c>
      <c r="E1203" s="89"/>
      <c r="F1203" s="89"/>
    </row>
    <row r="1204" spans="1:6" x14ac:dyDescent="0.35">
      <c r="A1204" s="87">
        <v>45380</v>
      </c>
      <c r="B1204" s="2" t="s">
        <v>1206</v>
      </c>
      <c r="C1204" s="2" t="s">
        <v>84</v>
      </c>
      <c r="D1204" s="2" t="s">
        <v>1491</v>
      </c>
      <c r="E1204" s="89"/>
      <c r="F1204" s="89"/>
    </row>
    <row r="1205" spans="1:6" x14ac:dyDescent="0.35">
      <c r="A1205" s="87">
        <v>45384</v>
      </c>
      <c r="B1205" s="2" t="s">
        <v>1177</v>
      </c>
      <c r="C1205" s="2" t="s">
        <v>84</v>
      </c>
      <c r="D1205" s="2" t="s">
        <v>1105</v>
      </c>
      <c r="E1205" s="89"/>
      <c r="F1205" s="89"/>
    </row>
    <row r="1206" spans="1:6" x14ac:dyDescent="0.35">
      <c r="A1206" s="87">
        <v>45384</v>
      </c>
      <c r="B1206" s="2" t="s">
        <v>1143</v>
      </c>
      <c r="C1206" s="2" t="s">
        <v>84</v>
      </c>
      <c r="D1206" s="2" t="s">
        <v>1461</v>
      </c>
      <c r="E1206" s="89"/>
      <c r="F1206" s="89"/>
    </row>
    <row r="1207" spans="1:6" x14ac:dyDescent="0.35">
      <c r="A1207" s="87">
        <v>45384</v>
      </c>
      <c r="B1207" s="2" t="s">
        <v>1170</v>
      </c>
      <c r="C1207" s="2" t="s">
        <v>84</v>
      </c>
      <c r="D1207" s="2" t="s">
        <v>1099</v>
      </c>
      <c r="E1207" s="89"/>
      <c r="F1207" s="89"/>
    </row>
    <row r="1208" spans="1:6" x14ac:dyDescent="0.35">
      <c r="A1208" s="87">
        <v>45385</v>
      </c>
      <c r="B1208" s="2" t="s">
        <v>1207</v>
      </c>
      <c r="C1208" s="2" t="s">
        <v>84</v>
      </c>
      <c r="D1208" s="2" t="s">
        <v>1481</v>
      </c>
      <c r="E1208" s="89"/>
      <c r="F1208" s="89"/>
    </row>
    <row r="1209" spans="1:6" x14ac:dyDescent="0.35">
      <c r="A1209" s="87">
        <v>45385</v>
      </c>
      <c r="B1209" s="2" t="s">
        <v>1627</v>
      </c>
      <c r="C1209" s="2" t="s">
        <v>594</v>
      </c>
      <c r="D1209" s="2" t="s">
        <v>1031</v>
      </c>
      <c r="E1209" s="89">
        <v>1535.43</v>
      </c>
      <c r="F1209" s="89">
        <v>1842.5160000000001</v>
      </c>
    </row>
    <row r="1210" spans="1:6" x14ac:dyDescent="0.35">
      <c r="A1210" s="87">
        <v>45386</v>
      </c>
      <c r="B1210" s="2" t="s">
        <v>1208</v>
      </c>
      <c r="C1210" s="2" t="s">
        <v>84</v>
      </c>
      <c r="D1210" s="2" t="s">
        <v>1110</v>
      </c>
      <c r="E1210" s="89"/>
      <c r="F1210" s="89"/>
    </row>
    <row r="1211" spans="1:6" x14ac:dyDescent="0.35">
      <c r="A1211" s="87">
        <v>45386</v>
      </c>
      <c r="B1211" s="2" t="s">
        <v>1209</v>
      </c>
      <c r="C1211" s="2" t="s">
        <v>84</v>
      </c>
      <c r="D1211" s="2" t="s">
        <v>1483</v>
      </c>
      <c r="E1211" s="89"/>
      <c r="F1211" s="89"/>
    </row>
    <row r="1212" spans="1:6" x14ac:dyDescent="0.35">
      <c r="A1212" s="87">
        <v>45386</v>
      </c>
      <c r="B1212" s="2" t="s">
        <v>803</v>
      </c>
      <c r="C1212" s="2" t="s">
        <v>84</v>
      </c>
      <c r="D1212" s="2" t="s">
        <v>1492</v>
      </c>
      <c r="E1212" s="89"/>
      <c r="F1212" s="89"/>
    </row>
    <row r="1213" spans="1:6" x14ac:dyDescent="0.35">
      <c r="A1213" s="87">
        <v>45387</v>
      </c>
      <c r="B1213" s="2" t="s">
        <v>1210</v>
      </c>
      <c r="C1213" s="2" t="s">
        <v>84</v>
      </c>
      <c r="D1213" s="2" t="s">
        <v>1493</v>
      </c>
      <c r="E1213" s="89"/>
      <c r="F1213" s="89"/>
    </row>
    <row r="1214" spans="1:6" x14ac:dyDescent="0.35">
      <c r="A1214" s="87">
        <v>45390</v>
      </c>
      <c r="B1214" s="2" t="s">
        <v>1211</v>
      </c>
      <c r="C1214" s="2" t="s">
        <v>84</v>
      </c>
      <c r="D1214" s="2" t="s">
        <v>604</v>
      </c>
      <c r="E1214" s="89"/>
      <c r="F1214" s="89"/>
    </row>
    <row r="1215" spans="1:6" x14ac:dyDescent="0.35">
      <c r="A1215" s="87">
        <v>45390</v>
      </c>
      <c r="B1215" s="2" t="s">
        <v>1161</v>
      </c>
      <c r="C1215" s="2" t="s">
        <v>84</v>
      </c>
      <c r="D1215" s="2" t="s">
        <v>1467</v>
      </c>
      <c r="E1215" s="89"/>
      <c r="F1215" s="89"/>
    </row>
    <row r="1216" spans="1:6" x14ac:dyDescent="0.35">
      <c r="A1216" s="87">
        <v>45390</v>
      </c>
      <c r="B1216" s="2" t="s">
        <v>1200</v>
      </c>
      <c r="C1216" s="2" t="s">
        <v>84</v>
      </c>
      <c r="D1216" s="2" t="s">
        <v>1469</v>
      </c>
      <c r="E1216" s="89"/>
      <c r="F1216" s="89"/>
    </row>
    <row r="1217" spans="1:6" x14ac:dyDescent="0.35">
      <c r="A1217" s="87">
        <v>45390</v>
      </c>
      <c r="B1217" s="2" t="s">
        <v>1237</v>
      </c>
      <c r="C1217" s="2" t="s">
        <v>84</v>
      </c>
      <c r="D1217" s="2" t="s">
        <v>1454</v>
      </c>
      <c r="E1217" s="89"/>
      <c r="F1217" s="89"/>
    </row>
    <row r="1218" spans="1:6" x14ac:dyDescent="0.35">
      <c r="A1218" s="87">
        <v>45392</v>
      </c>
      <c r="B1218" s="2" t="s">
        <v>1213</v>
      </c>
      <c r="C1218" s="2" t="s">
        <v>84</v>
      </c>
      <c r="D1218" s="2" t="s">
        <v>1494</v>
      </c>
      <c r="E1218" s="89"/>
      <c r="F1218" s="89"/>
    </row>
    <row r="1219" spans="1:6" x14ac:dyDescent="0.35">
      <c r="A1219" s="87">
        <v>45397</v>
      </c>
      <c r="B1219" s="2" t="s">
        <v>1214</v>
      </c>
      <c r="C1219" s="2" t="s">
        <v>84</v>
      </c>
      <c r="D1219" s="2" t="s">
        <v>1058</v>
      </c>
      <c r="E1219" s="89"/>
      <c r="F1219" s="89"/>
    </row>
    <row r="1220" spans="1:6" x14ac:dyDescent="0.35">
      <c r="A1220" s="87">
        <v>45397</v>
      </c>
      <c r="B1220" s="2" t="s">
        <v>1161</v>
      </c>
      <c r="C1220" s="2" t="s">
        <v>84</v>
      </c>
      <c r="D1220" s="2" t="s">
        <v>1467</v>
      </c>
      <c r="E1220" s="89"/>
      <c r="F1220" s="89"/>
    </row>
    <row r="1221" spans="1:6" x14ac:dyDescent="0.35">
      <c r="A1221" s="87">
        <v>45398</v>
      </c>
      <c r="B1221" s="2" t="s">
        <v>1215</v>
      </c>
      <c r="C1221" s="2" t="s">
        <v>84</v>
      </c>
      <c r="D1221" s="2" t="s">
        <v>1495</v>
      </c>
      <c r="E1221" s="89"/>
      <c r="F1221" s="89"/>
    </row>
    <row r="1222" spans="1:6" x14ac:dyDescent="0.35">
      <c r="A1222" s="87">
        <v>45398</v>
      </c>
      <c r="B1222" s="2" t="s">
        <v>1216</v>
      </c>
      <c r="C1222" s="2" t="s">
        <v>84</v>
      </c>
      <c r="D1222" s="2" t="s">
        <v>1496</v>
      </c>
      <c r="E1222" s="89"/>
      <c r="F1222" s="89"/>
    </row>
    <row r="1223" spans="1:6" x14ac:dyDescent="0.35">
      <c r="A1223" s="87">
        <v>45398</v>
      </c>
      <c r="B1223" s="2" t="s">
        <v>1217</v>
      </c>
      <c r="C1223" s="2" t="s">
        <v>84</v>
      </c>
      <c r="D1223" s="2" t="s">
        <v>1497</v>
      </c>
      <c r="E1223" s="89"/>
      <c r="F1223" s="89"/>
    </row>
    <row r="1224" spans="1:6" x14ac:dyDescent="0.35">
      <c r="A1224" s="87">
        <v>45400</v>
      </c>
      <c r="B1224" s="2" t="s">
        <v>1218</v>
      </c>
      <c r="C1224" s="2" t="s">
        <v>84</v>
      </c>
      <c r="D1224" s="2" t="s">
        <v>1498</v>
      </c>
      <c r="E1224" s="89"/>
      <c r="F1224" s="89"/>
    </row>
    <row r="1225" spans="1:6" x14ac:dyDescent="0.35">
      <c r="A1225" s="87">
        <v>45400</v>
      </c>
      <c r="B1225" s="2" t="s">
        <v>683</v>
      </c>
      <c r="C1225" s="2" t="s">
        <v>84</v>
      </c>
      <c r="D1225" s="2" t="s">
        <v>1455</v>
      </c>
      <c r="E1225" s="89"/>
      <c r="F1225" s="89"/>
    </row>
    <row r="1226" spans="1:6" x14ac:dyDescent="0.35">
      <c r="A1226" s="87">
        <v>45404</v>
      </c>
      <c r="B1226" s="2" t="s">
        <v>1157</v>
      </c>
      <c r="C1226" s="2" t="s">
        <v>84</v>
      </c>
      <c r="D1226" s="2" t="s">
        <v>1458</v>
      </c>
      <c r="E1226" s="89"/>
      <c r="F1226" s="89"/>
    </row>
    <row r="1227" spans="1:6" x14ac:dyDescent="0.35">
      <c r="A1227" s="87">
        <v>45404</v>
      </c>
      <c r="B1227" s="2" t="s">
        <v>1161</v>
      </c>
      <c r="C1227" s="2" t="s">
        <v>84</v>
      </c>
      <c r="D1227" s="2" t="s">
        <v>1467</v>
      </c>
      <c r="E1227" s="89"/>
      <c r="F1227" s="89"/>
    </row>
    <row r="1228" spans="1:6" x14ac:dyDescent="0.35">
      <c r="A1228" s="87">
        <v>45404</v>
      </c>
      <c r="B1228" s="2" t="s">
        <v>1154</v>
      </c>
      <c r="C1228" s="2" t="s">
        <v>84</v>
      </c>
      <c r="D1228" s="2" t="s">
        <v>1058</v>
      </c>
      <c r="E1228" s="89"/>
      <c r="F1228" s="89"/>
    </row>
    <row r="1229" spans="1:6" x14ac:dyDescent="0.35">
      <c r="A1229" s="87">
        <v>45404</v>
      </c>
      <c r="B1229" s="2" t="s">
        <v>831</v>
      </c>
      <c r="C1229" s="2" t="s">
        <v>84</v>
      </c>
      <c r="D1229" s="2" t="s">
        <v>1469</v>
      </c>
      <c r="E1229" s="89"/>
      <c r="F1229" s="89"/>
    </row>
    <row r="1230" spans="1:6" x14ac:dyDescent="0.35">
      <c r="A1230" s="87">
        <v>45405</v>
      </c>
      <c r="B1230" s="2" t="s">
        <v>1219</v>
      </c>
      <c r="C1230" s="2" t="s">
        <v>84</v>
      </c>
      <c r="D1230" s="2" t="s">
        <v>596</v>
      </c>
      <c r="E1230" s="89"/>
      <c r="F1230" s="89"/>
    </row>
    <row r="1231" spans="1:6" x14ac:dyDescent="0.35">
      <c r="A1231" s="87">
        <v>45405</v>
      </c>
      <c r="B1231" s="2" t="s">
        <v>1220</v>
      </c>
      <c r="C1231" s="2" t="s">
        <v>84</v>
      </c>
      <c r="D1231" s="2" t="s">
        <v>1079</v>
      </c>
      <c r="E1231" s="89"/>
      <c r="F1231" s="89"/>
    </row>
    <row r="1232" spans="1:6" x14ac:dyDescent="0.35">
      <c r="A1232" s="87">
        <v>45405</v>
      </c>
      <c r="B1232" s="2" t="s">
        <v>1221</v>
      </c>
      <c r="C1232" s="2" t="s">
        <v>84</v>
      </c>
      <c r="D1232" s="2" t="s">
        <v>1110</v>
      </c>
      <c r="E1232" s="89"/>
      <c r="F1232" s="89"/>
    </row>
    <row r="1233" spans="1:6" x14ac:dyDescent="0.35">
      <c r="A1233" s="87">
        <v>45405</v>
      </c>
      <c r="B1233" s="2" t="s">
        <v>566</v>
      </c>
      <c r="C1233" s="2" t="s">
        <v>84</v>
      </c>
      <c r="D1233" s="2" t="s">
        <v>1089</v>
      </c>
      <c r="E1233" s="89"/>
      <c r="F1233" s="89"/>
    </row>
    <row r="1234" spans="1:6" x14ac:dyDescent="0.35">
      <c r="A1234" s="87">
        <v>45406</v>
      </c>
      <c r="B1234" s="2" t="s">
        <v>1222</v>
      </c>
      <c r="C1234" s="2" t="s">
        <v>84</v>
      </c>
      <c r="D1234" s="2" t="s">
        <v>596</v>
      </c>
      <c r="E1234" s="89"/>
      <c r="F1234" s="89"/>
    </row>
    <row r="1235" spans="1:6" x14ac:dyDescent="0.35">
      <c r="A1235" s="87">
        <v>45406</v>
      </c>
      <c r="B1235" s="2" t="s">
        <v>1223</v>
      </c>
      <c r="C1235" s="2" t="s">
        <v>84</v>
      </c>
      <c r="D1235" s="2" t="s">
        <v>1108</v>
      </c>
      <c r="E1235" s="89"/>
      <c r="F1235" s="89"/>
    </row>
    <row r="1236" spans="1:6" x14ac:dyDescent="0.35">
      <c r="A1236" s="87">
        <v>45406</v>
      </c>
      <c r="B1236" s="2" t="s">
        <v>1224</v>
      </c>
      <c r="C1236" s="2" t="s">
        <v>84</v>
      </c>
      <c r="D1236" s="2" t="s">
        <v>1499</v>
      </c>
      <c r="E1236" s="89"/>
      <c r="F1236" s="89"/>
    </row>
    <row r="1237" spans="1:6" x14ac:dyDescent="0.35">
      <c r="A1237" s="87">
        <v>45407</v>
      </c>
      <c r="B1237" s="2" t="s">
        <v>1225</v>
      </c>
      <c r="C1237" s="2" t="s">
        <v>84</v>
      </c>
      <c r="D1237" s="2" t="s">
        <v>1500</v>
      </c>
      <c r="E1237" s="89"/>
      <c r="F1237" s="89"/>
    </row>
    <row r="1238" spans="1:6" x14ac:dyDescent="0.35">
      <c r="A1238" s="87">
        <v>45407</v>
      </c>
      <c r="B1238" s="2" t="s">
        <v>1196</v>
      </c>
      <c r="C1238" s="2" t="s">
        <v>84</v>
      </c>
      <c r="D1238" s="2" t="s">
        <v>600</v>
      </c>
      <c r="E1238" s="89"/>
      <c r="F1238" s="89"/>
    </row>
    <row r="1239" spans="1:6" x14ac:dyDescent="0.35">
      <c r="A1239" s="87">
        <v>45407</v>
      </c>
      <c r="B1239" s="2" t="s">
        <v>1226</v>
      </c>
      <c r="C1239" s="2" t="s">
        <v>84</v>
      </c>
      <c r="D1239" s="2" t="s">
        <v>1058</v>
      </c>
      <c r="E1239" s="89"/>
      <c r="F1239" s="89"/>
    </row>
    <row r="1240" spans="1:6" x14ac:dyDescent="0.35">
      <c r="A1240" s="87">
        <v>45407</v>
      </c>
      <c r="B1240" s="2" t="s">
        <v>1227</v>
      </c>
      <c r="C1240" s="2" t="s">
        <v>84</v>
      </c>
      <c r="D1240" s="2" t="s">
        <v>1501</v>
      </c>
      <c r="E1240" s="89"/>
      <c r="F1240" s="89"/>
    </row>
    <row r="1241" spans="1:6" x14ac:dyDescent="0.35">
      <c r="A1241" s="87">
        <v>45408</v>
      </c>
      <c r="B1241" s="2" t="s">
        <v>1228</v>
      </c>
      <c r="C1241" s="2" t="s">
        <v>84</v>
      </c>
      <c r="D1241" s="2" t="s">
        <v>1502</v>
      </c>
      <c r="E1241" s="89"/>
      <c r="F1241" s="89"/>
    </row>
    <row r="1242" spans="1:6" x14ac:dyDescent="0.35">
      <c r="A1242" s="87">
        <v>45411</v>
      </c>
      <c r="B1242" s="2" t="s">
        <v>1154</v>
      </c>
      <c r="C1242" s="2" t="s">
        <v>84</v>
      </c>
      <c r="D1242" s="2" t="s">
        <v>1058</v>
      </c>
      <c r="E1242" s="89"/>
      <c r="F1242" s="89"/>
    </row>
    <row r="1243" spans="1:6" x14ac:dyDescent="0.35">
      <c r="A1243" s="87">
        <v>45411</v>
      </c>
      <c r="B1243" s="2" t="s">
        <v>1139</v>
      </c>
      <c r="C1243" s="2" t="s">
        <v>84</v>
      </c>
      <c r="D1243" s="2" t="s">
        <v>1108</v>
      </c>
      <c r="E1243" s="89"/>
      <c r="F1243" s="89"/>
    </row>
    <row r="1244" spans="1:6" x14ac:dyDescent="0.35">
      <c r="A1244" s="87">
        <v>45411</v>
      </c>
      <c r="B1244" s="2" t="s">
        <v>1229</v>
      </c>
      <c r="C1244" s="2" t="s">
        <v>84</v>
      </c>
      <c r="D1244" s="2" t="s">
        <v>1116</v>
      </c>
      <c r="E1244" s="89"/>
      <c r="F1244" s="89"/>
    </row>
    <row r="1245" spans="1:6" x14ac:dyDescent="0.35">
      <c r="A1245" s="87">
        <v>45412</v>
      </c>
      <c r="B1245" s="2" t="s">
        <v>1139</v>
      </c>
      <c r="C1245" s="2" t="s">
        <v>84</v>
      </c>
      <c r="D1245" s="2" t="s">
        <v>1108</v>
      </c>
      <c r="E1245" s="89"/>
      <c r="F1245" s="89"/>
    </row>
    <row r="1246" spans="1:6" x14ac:dyDescent="0.35">
      <c r="A1246" s="87">
        <v>45412</v>
      </c>
      <c r="B1246" s="2" t="s">
        <v>1230</v>
      </c>
      <c r="C1246" s="2" t="s">
        <v>84</v>
      </c>
      <c r="D1246" s="2" t="s">
        <v>1503</v>
      </c>
      <c r="E1246" s="89"/>
      <c r="F1246" s="89"/>
    </row>
    <row r="1247" spans="1:6" x14ac:dyDescent="0.35">
      <c r="A1247" s="87">
        <v>45414</v>
      </c>
      <c r="B1247" s="2" t="s">
        <v>1231</v>
      </c>
      <c r="C1247" s="2" t="s">
        <v>84</v>
      </c>
      <c r="D1247" s="2" t="s">
        <v>1504</v>
      </c>
      <c r="E1247" s="89"/>
      <c r="F1247" s="89"/>
    </row>
    <row r="1248" spans="1:6" x14ac:dyDescent="0.35">
      <c r="A1248" s="87">
        <v>45414</v>
      </c>
      <c r="B1248" s="2" t="s">
        <v>1232</v>
      </c>
      <c r="C1248" s="2" t="s">
        <v>84</v>
      </c>
      <c r="D1248" s="2" t="s">
        <v>1504</v>
      </c>
      <c r="E1248" s="89"/>
      <c r="F1248" s="89"/>
    </row>
    <row r="1249" spans="1:6" x14ac:dyDescent="0.35">
      <c r="A1249" s="87">
        <v>45414</v>
      </c>
      <c r="B1249" s="2" t="s">
        <v>1233</v>
      </c>
      <c r="C1249" s="2" t="s">
        <v>84</v>
      </c>
      <c r="D1249" s="2" t="s">
        <v>1108</v>
      </c>
      <c r="E1249" s="89"/>
      <c r="F1249" s="89"/>
    </row>
    <row r="1250" spans="1:6" x14ac:dyDescent="0.35">
      <c r="A1250" s="87">
        <v>45414</v>
      </c>
      <c r="B1250" s="2" t="s">
        <v>1234</v>
      </c>
      <c r="C1250" s="2" t="s">
        <v>84</v>
      </c>
      <c r="D1250" s="2" t="s">
        <v>1497</v>
      </c>
      <c r="E1250" s="89"/>
      <c r="F1250" s="89"/>
    </row>
    <row r="1251" spans="1:6" x14ac:dyDescent="0.35">
      <c r="A1251" s="87">
        <v>45415</v>
      </c>
      <c r="B1251" s="2" t="s">
        <v>1235</v>
      </c>
      <c r="C1251" s="2" t="s">
        <v>84</v>
      </c>
      <c r="D1251" s="2" t="s">
        <v>1109</v>
      </c>
      <c r="E1251" s="89"/>
      <c r="F1251" s="89"/>
    </row>
    <row r="1252" spans="1:6" x14ac:dyDescent="0.35">
      <c r="A1252" s="87">
        <v>45418</v>
      </c>
      <c r="B1252" s="2" t="s">
        <v>1236</v>
      </c>
      <c r="C1252" s="2" t="s">
        <v>84</v>
      </c>
      <c r="D1252" s="2" t="s">
        <v>1058</v>
      </c>
      <c r="E1252" s="89"/>
      <c r="F1252" s="89"/>
    </row>
    <row r="1253" spans="1:6" x14ac:dyDescent="0.35">
      <c r="A1253" s="87">
        <v>45418</v>
      </c>
      <c r="B1253" s="2" t="s">
        <v>1161</v>
      </c>
      <c r="C1253" s="2" t="s">
        <v>84</v>
      </c>
      <c r="D1253" s="2" t="s">
        <v>1467</v>
      </c>
      <c r="E1253" s="89"/>
      <c r="F1253" s="89"/>
    </row>
    <row r="1254" spans="1:6" x14ac:dyDescent="0.35">
      <c r="A1254" s="87">
        <v>45418</v>
      </c>
      <c r="B1254" s="2" t="s">
        <v>831</v>
      </c>
      <c r="C1254" s="2" t="s">
        <v>84</v>
      </c>
      <c r="D1254" s="2" t="s">
        <v>1469</v>
      </c>
      <c r="E1254" s="89"/>
      <c r="F1254" s="89"/>
    </row>
    <row r="1255" spans="1:6" x14ac:dyDescent="0.35">
      <c r="A1255" s="87">
        <v>45419</v>
      </c>
      <c r="B1255" s="2" t="s">
        <v>1212</v>
      </c>
      <c r="C1255" s="2" t="s">
        <v>84</v>
      </c>
      <c r="D1255" s="2" t="s">
        <v>1454</v>
      </c>
      <c r="E1255" s="89"/>
      <c r="F1255" s="89"/>
    </row>
    <row r="1256" spans="1:6" x14ac:dyDescent="0.35">
      <c r="A1256" s="87">
        <v>45419</v>
      </c>
      <c r="B1256" s="2" t="s">
        <v>1238</v>
      </c>
      <c r="C1256" s="2" t="s">
        <v>84</v>
      </c>
      <c r="D1256" s="2" t="s">
        <v>1505</v>
      </c>
      <c r="E1256" s="89"/>
      <c r="F1256" s="89"/>
    </row>
    <row r="1257" spans="1:6" x14ac:dyDescent="0.35">
      <c r="A1257" s="87">
        <v>45425</v>
      </c>
      <c r="B1257" s="2" t="s">
        <v>472</v>
      </c>
      <c r="C1257" s="2" t="s">
        <v>84</v>
      </c>
      <c r="D1257" s="2" t="s">
        <v>1469</v>
      </c>
      <c r="E1257" s="89"/>
      <c r="F1257" s="89"/>
    </row>
    <row r="1258" spans="1:6" x14ac:dyDescent="0.35">
      <c r="A1258" s="87">
        <v>45425</v>
      </c>
      <c r="B1258" s="2" t="s">
        <v>1236</v>
      </c>
      <c r="C1258" s="2" t="s">
        <v>84</v>
      </c>
      <c r="D1258" s="2" t="s">
        <v>1058</v>
      </c>
      <c r="E1258" s="89"/>
      <c r="F1258" s="89"/>
    </row>
    <row r="1259" spans="1:6" x14ac:dyDescent="0.35">
      <c r="A1259" s="87">
        <v>45425</v>
      </c>
      <c r="B1259" s="2" t="s">
        <v>1161</v>
      </c>
      <c r="C1259" s="2" t="s">
        <v>84</v>
      </c>
      <c r="D1259" s="2" t="s">
        <v>1467</v>
      </c>
      <c r="E1259" s="89"/>
      <c r="F1259" s="89"/>
    </row>
    <row r="1260" spans="1:6" x14ac:dyDescent="0.35">
      <c r="A1260" s="87">
        <v>45426</v>
      </c>
      <c r="B1260" s="2" t="s">
        <v>1239</v>
      </c>
      <c r="C1260" s="2" t="s">
        <v>84</v>
      </c>
      <c r="D1260" s="2" t="s">
        <v>1469</v>
      </c>
      <c r="E1260" s="89"/>
      <c r="F1260" s="89"/>
    </row>
    <row r="1261" spans="1:6" x14ac:dyDescent="0.35">
      <c r="A1261" s="87">
        <v>45426</v>
      </c>
      <c r="B1261" s="2" t="s">
        <v>1240</v>
      </c>
      <c r="C1261" s="2" t="s">
        <v>84</v>
      </c>
      <c r="D1261" s="2" t="s">
        <v>1506</v>
      </c>
      <c r="E1261" s="89"/>
      <c r="F1261" s="89"/>
    </row>
    <row r="1262" spans="1:6" x14ac:dyDescent="0.35">
      <c r="A1262" s="87">
        <v>45426</v>
      </c>
      <c r="B1262" s="2" t="s">
        <v>547</v>
      </c>
      <c r="C1262" s="2" t="s">
        <v>84</v>
      </c>
      <c r="D1262" s="2" t="s">
        <v>1507</v>
      </c>
      <c r="E1262" s="89"/>
      <c r="F1262" s="89"/>
    </row>
    <row r="1263" spans="1:6" x14ac:dyDescent="0.35">
      <c r="A1263" s="87">
        <v>45427</v>
      </c>
      <c r="B1263" s="2" t="s">
        <v>1241</v>
      </c>
      <c r="C1263" s="2" t="s">
        <v>84</v>
      </c>
      <c r="D1263" s="2" t="s">
        <v>1498</v>
      </c>
      <c r="E1263" s="89"/>
      <c r="F1263" s="89"/>
    </row>
    <row r="1264" spans="1:6" x14ac:dyDescent="0.35">
      <c r="A1264" s="87">
        <v>45427</v>
      </c>
      <c r="B1264" s="2" t="s">
        <v>1242</v>
      </c>
      <c r="C1264" s="2" t="s">
        <v>84</v>
      </c>
      <c r="D1264" s="2" t="s">
        <v>1508</v>
      </c>
      <c r="E1264" s="89"/>
      <c r="F1264" s="89"/>
    </row>
    <row r="1265" spans="1:6" x14ac:dyDescent="0.35">
      <c r="A1265" s="87">
        <v>45427</v>
      </c>
      <c r="B1265" s="2" t="s">
        <v>1243</v>
      </c>
      <c r="C1265" s="2" t="s">
        <v>84</v>
      </c>
      <c r="D1265" s="2" t="s">
        <v>600</v>
      </c>
      <c r="E1265" s="89"/>
      <c r="F1265" s="89"/>
    </row>
    <row r="1266" spans="1:6" x14ac:dyDescent="0.35">
      <c r="A1266" s="87">
        <v>45428</v>
      </c>
      <c r="B1266" s="2" t="s">
        <v>1244</v>
      </c>
      <c r="C1266" s="2" t="s">
        <v>84</v>
      </c>
      <c r="D1266" s="2" t="s">
        <v>1509</v>
      </c>
      <c r="E1266" s="89"/>
      <c r="F1266" s="89"/>
    </row>
    <row r="1267" spans="1:6" x14ac:dyDescent="0.35">
      <c r="A1267" s="87">
        <v>45428</v>
      </c>
      <c r="B1267" s="2" t="s">
        <v>683</v>
      </c>
      <c r="C1267" s="2" t="s">
        <v>84</v>
      </c>
      <c r="D1267" s="2" t="s">
        <v>1510</v>
      </c>
      <c r="E1267" s="89"/>
      <c r="F1267" s="89"/>
    </row>
    <row r="1268" spans="1:6" x14ac:dyDescent="0.35">
      <c r="A1268" s="87">
        <v>45428</v>
      </c>
      <c r="B1268" s="2" t="s">
        <v>1245</v>
      </c>
      <c r="C1268" s="2" t="s">
        <v>84</v>
      </c>
      <c r="D1268" s="2" t="s">
        <v>1511</v>
      </c>
      <c r="E1268" s="89"/>
      <c r="F1268" s="89"/>
    </row>
    <row r="1269" spans="1:6" x14ac:dyDescent="0.35">
      <c r="A1269" s="87">
        <v>45428</v>
      </c>
      <c r="B1269" s="2" t="s">
        <v>1246</v>
      </c>
      <c r="C1269" s="2" t="s">
        <v>84</v>
      </c>
      <c r="D1269" s="2" t="s">
        <v>1109</v>
      </c>
      <c r="E1269" s="89"/>
      <c r="F1269" s="89"/>
    </row>
    <row r="1270" spans="1:6" x14ac:dyDescent="0.35">
      <c r="A1270" s="87">
        <v>45429</v>
      </c>
      <c r="B1270" s="2" t="s">
        <v>1247</v>
      </c>
      <c r="C1270" s="2" t="s">
        <v>84</v>
      </c>
      <c r="D1270" s="2" t="s">
        <v>1467</v>
      </c>
      <c r="E1270" s="89"/>
      <c r="F1270" s="89"/>
    </row>
    <row r="1271" spans="1:6" x14ac:dyDescent="0.35">
      <c r="A1271" s="87">
        <v>45429</v>
      </c>
      <c r="B1271" s="2" t="s">
        <v>1248</v>
      </c>
      <c r="C1271" s="2" t="s">
        <v>84</v>
      </c>
      <c r="D1271" s="2" t="s">
        <v>1512</v>
      </c>
      <c r="E1271" s="89"/>
      <c r="F1271" s="89"/>
    </row>
    <row r="1272" spans="1:6" x14ac:dyDescent="0.35">
      <c r="A1272" s="87">
        <v>45429</v>
      </c>
      <c r="B1272" s="2" t="s">
        <v>1249</v>
      </c>
      <c r="C1272" s="2" t="s">
        <v>84</v>
      </c>
      <c r="D1272" s="2" t="s">
        <v>1513</v>
      </c>
      <c r="E1272" s="89"/>
      <c r="F1272" s="89"/>
    </row>
    <row r="1273" spans="1:6" x14ac:dyDescent="0.35">
      <c r="A1273" s="87">
        <v>45432</v>
      </c>
      <c r="B1273" s="2" t="s">
        <v>1250</v>
      </c>
      <c r="C1273" s="2" t="s">
        <v>84</v>
      </c>
      <c r="D1273" s="2" t="s">
        <v>1514</v>
      </c>
      <c r="E1273" s="89"/>
      <c r="F1273" s="89"/>
    </row>
    <row r="1274" spans="1:6" x14ac:dyDescent="0.35">
      <c r="A1274" s="87">
        <v>45433</v>
      </c>
      <c r="B1274" s="2" t="s">
        <v>1251</v>
      </c>
      <c r="C1274" s="2" t="s">
        <v>84</v>
      </c>
      <c r="D1274" s="2" t="s">
        <v>1514</v>
      </c>
      <c r="E1274" s="89"/>
      <c r="F1274" s="89"/>
    </row>
    <row r="1275" spans="1:6" x14ac:dyDescent="0.35">
      <c r="A1275" s="87">
        <v>45433</v>
      </c>
      <c r="B1275" s="2" t="s">
        <v>1170</v>
      </c>
      <c r="C1275" s="2" t="s">
        <v>84</v>
      </c>
      <c r="D1275" s="2" t="s">
        <v>1058</v>
      </c>
      <c r="E1275" s="89"/>
      <c r="F1275" s="89"/>
    </row>
    <row r="1276" spans="1:6" x14ac:dyDescent="0.35">
      <c r="A1276" s="87">
        <v>45435</v>
      </c>
      <c r="B1276" s="2" t="s">
        <v>1648</v>
      </c>
      <c r="C1276" s="2" t="s">
        <v>164</v>
      </c>
      <c r="D1276" s="2" t="s">
        <v>1658</v>
      </c>
      <c r="E1276" s="89">
        <v>6779.32</v>
      </c>
      <c r="F1276" s="89">
        <v>8135.1839999999993</v>
      </c>
    </row>
    <row r="1277" spans="1:6" x14ac:dyDescent="0.35">
      <c r="A1277" s="87">
        <v>45437</v>
      </c>
      <c r="B1277" s="2" t="s">
        <v>1252</v>
      </c>
      <c r="C1277" s="2" t="s">
        <v>84</v>
      </c>
      <c r="D1277" s="2" t="s">
        <v>1515</v>
      </c>
      <c r="E1277" s="89"/>
      <c r="F1277" s="89"/>
    </row>
    <row r="1278" spans="1:6" x14ac:dyDescent="0.35">
      <c r="A1278" s="87">
        <v>45439</v>
      </c>
      <c r="B1278" s="2" t="s">
        <v>1253</v>
      </c>
      <c r="C1278" s="2" t="s">
        <v>84</v>
      </c>
      <c r="D1278" s="2" t="s">
        <v>1058</v>
      </c>
      <c r="E1278" s="89"/>
      <c r="F1278" s="89"/>
    </row>
    <row r="1279" spans="1:6" x14ac:dyDescent="0.35">
      <c r="A1279" s="87">
        <v>45439</v>
      </c>
      <c r="B1279" s="2" t="s">
        <v>1254</v>
      </c>
      <c r="C1279" s="2" t="s">
        <v>84</v>
      </c>
      <c r="D1279" s="2" t="s">
        <v>1467</v>
      </c>
      <c r="E1279" s="89"/>
      <c r="F1279" s="89"/>
    </row>
    <row r="1280" spans="1:6" x14ac:dyDescent="0.35">
      <c r="A1280" s="87">
        <v>45439</v>
      </c>
      <c r="B1280" s="2" t="s">
        <v>1255</v>
      </c>
      <c r="C1280" s="2" t="s">
        <v>84</v>
      </c>
      <c r="D1280" s="2" t="s">
        <v>1458</v>
      </c>
      <c r="E1280" s="89"/>
      <c r="F1280" s="89"/>
    </row>
    <row r="1281" spans="1:6" x14ac:dyDescent="0.35">
      <c r="A1281" s="87">
        <v>45440</v>
      </c>
      <c r="B1281" s="2" t="s">
        <v>1256</v>
      </c>
      <c r="C1281" s="2" t="s">
        <v>84</v>
      </c>
      <c r="D1281" s="2" t="s">
        <v>1032</v>
      </c>
      <c r="E1281" s="89"/>
      <c r="F1281" s="89"/>
    </row>
    <row r="1282" spans="1:6" x14ac:dyDescent="0.35">
      <c r="A1282" s="87">
        <v>45440</v>
      </c>
      <c r="B1282" s="2" t="s">
        <v>1257</v>
      </c>
      <c r="C1282" s="2" t="s">
        <v>84</v>
      </c>
      <c r="D1282" s="2" t="s">
        <v>1516</v>
      </c>
      <c r="E1282" s="89"/>
      <c r="F1282" s="89"/>
    </row>
    <row r="1283" spans="1:6" x14ac:dyDescent="0.35">
      <c r="A1283" s="87">
        <v>45440</v>
      </c>
      <c r="B1283" s="2" t="s">
        <v>1258</v>
      </c>
      <c r="C1283" s="2" t="s">
        <v>84</v>
      </c>
      <c r="D1283" s="2" t="s">
        <v>1467</v>
      </c>
      <c r="E1283" s="89"/>
      <c r="F1283" s="89"/>
    </row>
    <row r="1284" spans="1:6" x14ac:dyDescent="0.35">
      <c r="A1284" s="87">
        <v>45440</v>
      </c>
      <c r="B1284" s="2" t="s">
        <v>1259</v>
      </c>
      <c r="C1284" s="2" t="s">
        <v>84</v>
      </c>
      <c r="D1284" s="2" t="s">
        <v>1517</v>
      </c>
      <c r="E1284" s="89"/>
      <c r="F1284" s="89"/>
    </row>
    <row r="1285" spans="1:6" x14ac:dyDescent="0.35">
      <c r="A1285" s="87">
        <v>45440</v>
      </c>
      <c r="B1285" s="2" t="s">
        <v>1260</v>
      </c>
      <c r="C1285" s="2" t="s">
        <v>84</v>
      </c>
      <c r="D1285" s="2" t="s">
        <v>1518</v>
      </c>
      <c r="E1285" s="89"/>
      <c r="F1285" s="89"/>
    </row>
    <row r="1286" spans="1:6" x14ac:dyDescent="0.35">
      <c r="A1286" s="87">
        <v>45440</v>
      </c>
      <c r="B1286" s="2" t="s">
        <v>1261</v>
      </c>
      <c r="C1286" s="2" t="s">
        <v>84</v>
      </c>
      <c r="D1286" s="2" t="s">
        <v>1519</v>
      </c>
      <c r="E1286" s="89"/>
      <c r="F1286" s="89"/>
    </row>
    <row r="1287" spans="1:6" x14ac:dyDescent="0.35">
      <c r="A1287" s="87">
        <v>45441</v>
      </c>
      <c r="B1287" s="2" t="s">
        <v>1628</v>
      </c>
      <c r="C1287" s="2" t="s">
        <v>594</v>
      </c>
      <c r="D1287" s="2" t="s">
        <v>1633</v>
      </c>
      <c r="E1287" s="89">
        <v>5418.87</v>
      </c>
      <c r="F1287" s="89">
        <v>6502.6439999999993</v>
      </c>
    </row>
    <row r="1288" spans="1:6" x14ac:dyDescent="0.35">
      <c r="A1288" s="87">
        <v>45446</v>
      </c>
      <c r="B1288" s="2" t="s">
        <v>1253</v>
      </c>
      <c r="C1288" s="2" t="s">
        <v>84</v>
      </c>
      <c r="D1288" s="2" t="s">
        <v>1058</v>
      </c>
      <c r="E1288" s="89"/>
      <c r="F1288" s="89"/>
    </row>
    <row r="1289" spans="1:6" x14ac:dyDescent="0.35">
      <c r="A1289" s="87">
        <v>45446</v>
      </c>
      <c r="B1289" s="2" t="s">
        <v>566</v>
      </c>
      <c r="C1289" s="2" t="s">
        <v>84</v>
      </c>
      <c r="D1289" s="2" t="s">
        <v>1089</v>
      </c>
      <c r="E1289" s="89"/>
      <c r="F1289" s="89"/>
    </row>
    <row r="1290" spans="1:6" x14ac:dyDescent="0.35">
      <c r="A1290" s="87">
        <v>45446</v>
      </c>
      <c r="B1290" s="2" t="s">
        <v>1254</v>
      </c>
      <c r="C1290" s="2" t="s">
        <v>84</v>
      </c>
      <c r="D1290" s="2" t="s">
        <v>1467</v>
      </c>
      <c r="E1290" s="89"/>
      <c r="F1290" s="89"/>
    </row>
    <row r="1291" spans="1:6" x14ac:dyDescent="0.35">
      <c r="A1291" s="87">
        <v>45446</v>
      </c>
      <c r="B1291" s="2" t="s">
        <v>1262</v>
      </c>
      <c r="C1291" s="2" t="s">
        <v>84</v>
      </c>
      <c r="D1291" s="2" t="s">
        <v>1520</v>
      </c>
      <c r="E1291" s="89"/>
      <c r="F1291" s="89"/>
    </row>
    <row r="1292" spans="1:6" x14ac:dyDescent="0.35">
      <c r="A1292" s="87">
        <v>45446</v>
      </c>
      <c r="B1292" s="2" t="s">
        <v>831</v>
      </c>
      <c r="C1292" s="2" t="s">
        <v>84</v>
      </c>
      <c r="D1292" s="2" t="s">
        <v>1469</v>
      </c>
      <c r="E1292" s="89"/>
      <c r="F1292" s="89"/>
    </row>
    <row r="1293" spans="1:6" x14ac:dyDescent="0.35">
      <c r="A1293" s="87">
        <v>45446</v>
      </c>
      <c r="B1293" s="2" t="s">
        <v>1263</v>
      </c>
      <c r="C1293" s="2" t="s">
        <v>84</v>
      </c>
      <c r="D1293" s="2" t="s">
        <v>1521</v>
      </c>
      <c r="E1293" s="89"/>
      <c r="F1293" s="89"/>
    </row>
    <row r="1294" spans="1:6" x14ac:dyDescent="0.35">
      <c r="A1294" s="87">
        <v>45447</v>
      </c>
      <c r="B1294" s="2" t="s">
        <v>1264</v>
      </c>
      <c r="C1294" s="2" t="s">
        <v>84</v>
      </c>
      <c r="D1294" s="2" t="s">
        <v>600</v>
      </c>
      <c r="E1294" s="89"/>
      <c r="F1294" s="89"/>
    </row>
    <row r="1295" spans="1:6" x14ac:dyDescent="0.35">
      <c r="A1295" s="87">
        <v>45447</v>
      </c>
      <c r="B1295" s="2" t="s">
        <v>1638</v>
      </c>
      <c r="C1295" s="2" t="s">
        <v>229</v>
      </c>
      <c r="D1295" s="2" t="s">
        <v>1521</v>
      </c>
      <c r="E1295" s="89">
        <v>7135.43</v>
      </c>
      <c r="F1295" s="89">
        <v>8562.5159999999996</v>
      </c>
    </row>
    <row r="1296" spans="1:6" x14ac:dyDescent="0.35">
      <c r="A1296" s="87">
        <v>45448</v>
      </c>
      <c r="B1296" s="2" t="s">
        <v>700</v>
      </c>
      <c r="C1296" s="2" t="s">
        <v>84</v>
      </c>
      <c r="D1296" s="2" t="s">
        <v>600</v>
      </c>
      <c r="E1296" s="89"/>
      <c r="F1296" s="89"/>
    </row>
    <row r="1297" spans="1:6" x14ac:dyDescent="0.35">
      <c r="A1297" s="87">
        <v>45449</v>
      </c>
      <c r="B1297" s="2" t="s">
        <v>1265</v>
      </c>
      <c r="C1297" s="2" t="s">
        <v>84</v>
      </c>
      <c r="D1297" s="2" t="s">
        <v>1522</v>
      </c>
      <c r="E1297" s="89"/>
      <c r="F1297" s="89"/>
    </row>
    <row r="1298" spans="1:6" x14ac:dyDescent="0.35">
      <c r="A1298" s="87">
        <v>45450</v>
      </c>
      <c r="B1298" s="2" t="s">
        <v>1266</v>
      </c>
      <c r="C1298" s="2" t="s">
        <v>84</v>
      </c>
      <c r="D1298" s="2" t="s">
        <v>1523</v>
      </c>
      <c r="E1298" s="89"/>
      <c r="F1298" s="89"/>
    </row>
    <row r="1299" spans="1:6" x14ac:dyDescent="0.35">
      <c r="A1299" s="87">
        <v>45451</v>
      </c>
      <c r="B1299" s="2" t="s">
        <v>1267</v>
      </c>
      <c r="C1299" s="2" t="s">
        <v>84</v>
      </c>
      <c r="D1299" s="2" t="s">
        <v>1524</v>
      </c>
      <c r="E1299" s="89"/>
      <c r="F1299" s="89"/>
    </row>
    <row r="1300" spans="1:6" x14ac:dyDescent="0.35">
      <c r="A1300" s="87">
        <v>45451</v>
      </c>
      <c r="B1300" s="2" t="s">
        <v>1268</v>
      </c>
      <c r="C1300" s="2" t="s">
        <v>84</v>
      </c>
      <c r="D1300" s="2" t="s">
        <v>596</v>
      </c>
      <c r="E1300" s="89"/>
      <c r="F1300" s="89"/>
    </row>
    <row r="1301" spans="1:6" x14ac:dyDescent="0.35">
      <c r="A1301" s="87">
        <v>45453</v>
      </c>
      <c r="B1301" s="2" t="s">
        <v>1269</v>
      </c>
      <c r="C1301" s="2" t="s">
        <v>84</v>
      </c>
      <c r="D1301" s="2" t="s">
        <v>1467</v>
      </c>
      <c r="E1301" s="89"/>
      <c r="F1301" s="89"/>
    </row>
    <row r="1302" spans="1:6" x14ac:dyDescent="0.35">
      <c r="A1302" s="87">
        <v>45453</v>
      </c>
      <c r="B1302" s="2" t="s">
        <v>1270</v>
      </c>
      <c r="C1302" s="2" t="s">
        <v>84</v>
      </c>
      <c r="D1302" s="2" t="s">
        <v>1099</v>
      </c>
      <c r="E1302" s="89"/>
      <c r="F1302" s="89"/>
    </row>
    <row r="1303" spans="1:6" x14ac:dyDescent="0.35">
      <c r="A1303" s="87">
        <v>45453</v>
      </c>
      <c r="B1303" s="2" t="s">
        <v>1253</v>
      </c>
      <c r="C1303" s="2" t="s">
        <v>84</v>
      </c>
      <c r="D1303" s="2" t="s">
        <v>1058</v>
      </c>
      <c r="E1303" s="89"/>
      <c r="F1303" s="89"/>
    </row>
    <row r="1304" spans="1:6" x14ac:dyDescent="0.35">
      <c r="A1304" s="87">
        <v>45453</v>
      </c>
      <c r="B1304" s="2" t="s">
        <v>1254</v>
      </c>
      <c r="C1304" s="2" t="s">
        <v>84</v>
      </c>
      <c r="D1304" s="2" t="s">
        <v>1467</v>
      </c>
      <c r="E1304" s="89"/>
      <c r="F1304" s="89"/>
    </row>
    <row r="1305" spans="1:6" x14ac:dyDescent="0.35">
      <c r="A1305" s="87">
        <v>45453</v>
      </c>
      <c r="B1305" s="2" t="s">
        <v>1190</v>
      </c>
      <c r="C1305" s="2" t="s">
        <v>84</v>
      </c>
      <c r="D1305" s="2" t="s">
        <v>1469</v>
      </c>
      <c r="E1305" s="89"/>
      <c r="F1305" s="89"/>
    </row>
    <row r="1306" spans="1:6" x14ac:dyDescent="0.35">
      <c r="A1306" s="87">
        <v>45454</v>
      </c>
      <c r="B1306" s="2" t="s">
        <v>1271</v>
      </c>
      <c r="C1306" s="2" t="s">
        <v>84</v>
      </c>
      <c r="D1306" s="2" t="s">
        <v>1525</v>
      </c>
      <c r="E1306" s="89"/>
      <c r="F1306" s="89"/>
    </row>
    <row r="1307" spans="1:6" x14ac:dyDescent="0.35">
      <c r="A1307" s="87">
        <v>45454</v>
      </c>
      <c r="B1307" s="2" t="s">
        <v>1220</v>
      </c>
      <c r="C1307" s="2" t="s">
        <v>84</v>
      </c>
      <c r="D1307" s="2" t="s">
        <v>1079</v>
      </c>
      <c r="E1307" s="89"/>
      <c r="F1307" s="89"/>
    </row>
    <row r="1308" spans="1:6" x14ac:dyDescent="0.35">
      <c r="A1308" s="87">
        <v>45454</v>
      </c>
      <c r="B1308" s="2" t="s">
        <v>1272</v>
      </c>
      <c r="C1308" s="2" t="s">
        <v>84</v>
      </c>
      <c r="D1308" s="2" t="s">
        <v>1526</v>
      </c>
      <c r="E1308" s="89"/>
      <c r="F1308" s="89"/>
    </row>
    <row r="1309" spans="1:6" x14ac:dyDescent="0.35">
      <c r="A1309" s="87">
        <v>45455</v>
      </c>
      <c r="B1309" s="2" t="s">
        <v>1273</v>
      </c>
      <c r="C1309" s="2" t="s">
        <v>84</v>
      </c>
      <c r="D1309" s="2" t="s">
        <v>1527</v>
      </c>
      <c r="E1309" s="89"/>
      <c r="F1309" s="89"/>
    </row>
    <row r="1310" spans="1:6" x14ac:dyDescent="0.35">
      <c r="A1310" s="87">
        <v>45456</v>
      </c>
      <c r="B1310" s="2" t="s">
        <v>1274</v>
      </c>
      <c r="C1310" s="2" t="s">
        <v>84</v>
      </c>
      <c r="D1310" s="2" t="s">
        <v>1528</v>
      </c>
      <c r="E1310" s="89"/>
      <c r="F1310" s="89"/>
    </row>
    <row r="1311" spans="1:6" x14ac:dyDescent="0.35">
      <c r="A1311" s="87">
        <v>45456</v>
      </c>
      <c r="B1311" s="2" t="s">
        <v>1275</v>
      </c>
      <c r="C1311" s="2" t="s">
        <v>84</v>
      </c>
      <c r="D1311" s="2" t="s">
        <v>1529</v>
      </c>
      <c r="E1311" s="89"/>
      <c r="F1311" s="89"/>
    </row>
    <row r="1312" spans="1:6" x14ac:dyDescent="0.35">
      <c r="A1312" s="87">
        <v>45456</v>
      </c>
      <c r="B1312" s="2" t="s">
        <v>1270</v>
      </c>
      <c r="C1312" s="2" t="s">
        <v>84</v>
      </c>
      <c r="D1312" s="2" t="s">
        <v>1099</v>
      </c>
      <c r="E1312" s="89"/>
      <c r="F1312" s="89"/>
    </row>
    <row r="1313" spans="1:6" x14ac:dyDescent="0.35">
      <c r="A1313" s="87">
        <v>45456</v>
      </c>
      <c r="B1313" s="2" t="s">
        <v>1276</v>
      </c>
      <c r="C1313" s="2" t="s">
        <v>84</v>
      </c>
      <c r="D1313" s="2" t="s">
        <v>1099</v>
      </c>
      <c r="E1313" s="89"/>
      <c r="F1313" s="89"/>
    </row>
    <row r="1314" spans="1:6" x14ac:dyDescent="0.35">
      <c r="A1314" s="87">
        <v>45457</v>
      </c>
      <c r="B1314" s="2" t="s">
        <v>1277</v>
      </c>
      <c r="C1314" s="2" t="s">
        <v>84</v>
      </c>
      <c r="D1314" s="2" t="s">
        <v>603</v>
      </c>
      <c r="E1314" s="89"/>
      <c r="F1314" s="89"/>
    </row>
    <row r="1315" spans="1:6" x14ac:dyDescent="0.35">
      <c r="A1315" s="87">
        <v>45460</v>
      </c>
      <c r="B1315" s="2" t="s">
        <v>1278</v>
      </c>
      <c r="C1315" s="2" t="s">
        <v>84</v>
      </c>
      <c r="D1315" s="2" t="s">
        <v>1530</v>
      </c>
      <c r="E1315" s="89"/>
      <c r="F1315" s="89"/>
    </row>
    <row r="1316" spans="1:6" x14ac:dyDescent="0.35">
      <c r="A1316" s="87">
        <v>45460</v>
      </c>
      <c r="B1316" s="2" t="s">
        <v>1279</v>
      </c>
      <c r="C1316" s="2" t="s">
        <v>84</v>
      </c>
      <c r="D1316" s="2" t="s">
        <v>1531</v>
      </c>
      <c r="E1316" s="89"/>
      <c r="F1316" s="89"/>
    </row>
    <row r="1317" spans="1:6" x14ac:dyDescent="0.35">
      <c r="A1317" s="87">
        <v>45460</v>
      </c>
      <c r="B1317" s="2" t="s">
        <v>1280</v>
      </c>
      <c r="C1317" s="2" t="s">
        <v>84</v>
      </c>
      <c r="D1317" s="2" t="s">
        <v>1532</v>
      </c>
      <c r="E1317" s="89"/>
      <c r="F1317" s="89"/>
    </row>
    <row r="1318" spans="1:6" x14ac:dyDescent="0.35">
      <c r="A1318" s="87">
        <v>45460</v>
      </c>
      <c r="B1318" s="2" t="s">
        <v>1253</v>
      </c>
      <c r="C1318" s="2" t="s">
        <v>84</v>
      </c>
      <c r="D1318" s="2" t="s">
        <v>1058</v>
      </c>
      <c r="E1318" s="89"/>
      <c r="F1318" s="89"/>
    </row>
    <row r="1319" spans="1:6" x14ac:dyDescent="0.35">
      <c r="A1319" s="87">
        <v>45460</v>
      </c>
      <c r="B1319" s="2" t="s">
        <v>831</v>
      </c>
      <c r="C1319" s="2" t="s">
        <v>84</v>
      </c>
      <c r="D1319" s="2" t="s">
        <v>1469</v>
      </c>
      <c r="E1319" s="89"/>
      <c r="F1319" s="89"/>
    </row>
    <row r="1320" spans="1:6" x14ac:dyDescent="0.35">
      <c r="A1320" s="87">
        <v>45460</v>
      </c>
      <c r="B1320" s="2" t="s">
        <v>1261</v>
      </c>
      <c r="C1320" s="2" t="s">
        <v>84</v>
      </c>
      <c r="D1320" s="2" t="s">
        <v>1533</v>
      </c>
      <c r="E1320" s="89"/>
      <c r="F1320" s="89"/>
    </row>
    <row r="1321" spans="1:6" x14ac:dyDescent="0.35">
      <c r="A1321" s="87">
        <v>45460</v>
      </c>
      <c r="B1321" s="2" t="s">
        <v>1281</v>
      </c>
      <c r="C1321" s="2" t="s">
        <v>84</v>
      </c>
      <c r="D1321" s="2" t="s">
        <v>1534</v>
      </c>
      <c r="E1321" s="89"/>
      <c r="F1321" s="89"/>
    </row>
    <row r="1322" spans="1:6" x14ac:dyDescent="0.35">
      <c r="A1322" s="87">
        <v>45461</v>
      </c>
      <c r="B1322" s="2" t="s">
        <v>1282</v>
      </c>
      <c r="C1322" s="2" t="s">
        <v>84</v>
      </c>
      <c r="D1322" s="2" t="s">
        <v>1535</v>
      </c>
      <c r="E1322" s="89"/>
      <c r="F1322" s="89"/>
    </row>
    <row r="1323" spans="1:6" x14ac:dyDescent="0.35">
      <c r="A1323" s="87">
        <v>45461</v>
      </c>
      <c r="B1323" s="2" t="s">
        <v>1283</v>
      </c>
      <c r="C1323" s="2" t="s">
        <v>84</v>
      </c>
      <c r="D1323" s="2" t="s">
        <v>1533</v>
      </c>
      <c r="E1323" s="89"/>
      <c r="F1323" s="89"/>
    </row>
    <row r="1324" spans="1:6" x14ac:dyDescent="0.35">
      <c r="A1324" s="87">
        <v>45461</v>
      </c>
      <c r="B1324" s="2" t="s">
        <v>1270</v>
      </c>
      <c r="C1324" s="2" t="s">
        <v>84</v>
      </c>
      <c r="D1324" s="2" t="s">
        <v>1099</v>
      </c>
      <c r="E1324" s="89"/>
      <c r="F1324" s="89"/>
    </row>
    <row r="1325" spans="1:6" x14ac:dyDescent="0.35">
      <c r="A1325" s="87">
        <v>45461</v>
      </c>
      <c r="B1325" s="2" t="s">
        <v>1284</v>
      </c>
      <c r="C1325" s="2" t="s">
        <v>84</v>
      </c>
      <c r="D1325" s="2" t="s">
        <v>1079</v>
      </c>
      <c r="E1325" s="89"/>
      <c r="F1325" s="89"/>
    </row>
    <row r="1326" spans="1:6" x14ac:dyDescent="0.35">
      <c r="A1326" s="87">
        <v>45462</v>
      </c>
      <c r="B1326" s="2" t="s">
        <v>1285</v>
      </c>
      <c r="C1326" s="2" t="s">
        <v>84</v>
      </c>
      <c r="D1326" s="2" t="s">
        <v>1536</v>
      </c>
      <c r="E1326" s="89"/>
      <c r="F1326" s="89"/>
    </row>
    <row r="1327" spans="1:6" x14ac:dyDescent="0.35">
      <c r="A1327" s="87">
        <v>45462</v>
      </c>
      <c r="B1327" s="2" t="s">
        <v>1270</v>
      </c>
      <c r="C1327" s="2" t="s">
        <v>84</v>
      </c>
      <c r="D1327" s="2" t="s">
        <v>1099</v>
      </c>
      <c r="E1327" s="89"/>
      <c r="F1327" s="89"/>
    </row>
    <row r="1328" spans="1:6" x14ac:dyDescent="0.35">
      <c r="A1328" s="87">
        <v>45462</v>
      </c>
      <c r="B1328" s="2" t="s">
        <v>1286</v>
      </c>
      <c r="C1328" s="2" t="s">
        <v>84</v>
      </c>
      <c r="D1328" s="2" t="s">
        <v>1530</v>
      </c>
      <c r="E1328" s="89"/>
      <c r="F1328" s="89"/>
    </row>
    <row r="1329" spans="1:6" x14ac:dyDescent="0.35">
      <c r="A1329" s="87">
        <v>45462</v>
      </c>
      <c r="B1329" s="2" t="s">
        <v>1287</v>
      </c>
      <c r="C1329" s="2" t="s">
        <v>84</v>
      </c>
      <c r="D1329" s="2" t="s">
        <v>1496</v>
      </c>
      <c r="E1329" s="89"/>
      <c r="F1329" s="89"/>
    </row>
    <row r="1330" spans="1:6" x14ac:dyDescent="0.35">
      <c r="A1330" s="87">
        <v>45462</v>
      </c>
      <c r="B1330" s="2" t="s">
        <v>1288</v>
      </c>
      <c r="C1330" s="2" t="s">
        <v>84</v>
      </c>
      <c r="D1330" s="2" t="s">
        <v>1537</v>
      </c>
      <c r="E1330" s="89"/>
      <c r="F1330" s="89"/>
    </row>
    <row r="1331" spans="1:6" x14ac:dyDescent="0.35">
      <c r="A1331" s="87">
        <v>45463</v>
      </c>
      <c r="B1331" s="2" t="s">
        <v>1289</v>
      </c>
      <c r="C1331" s="2" t="s">
        <v>84</v>
      </c>
      <c r="D1331" s="2" t="s">
        <v>1530</v>
      </c>
      <c r="E1331" s="89"/>
      <c r="F1331" s="89"/>
    </row>
    <row r="1332" spans="1:6" x14ac:dyDescent="0.35">
      <c r="A1332" s="87">
        <v>45463</v>
      </c>
      <c r="B1332" s="2" t="s">
        <v>1290</v>
      </c>
      <c r="C1332" s="2" t="s">
        <v>84</v>
      </c>
      <c r="D1332" s="2" t="s">
        <v>1538</v>
      </c>
      <c r="E1332" s="89"/>
      <c r="F1332" s="89"/>
    </row>
    <row r="1333" spans="1:6" x14ac:dyDescent="0.35">
      <c r="A1333" s="87">
        <v>45463</v>
      </c>
      <c r="B1333" s="2" t="s">
        <v>1291</v>
      </c>
      <c r="C1333" s="2" t="s">
        <v>84</v>
      </c>
      <c r="D1333" s="2" t="s">
        <v>1539</v>
      </c>
      <c r="E1333" s="89"/>
      <c r="F1333" s="89"/>
    </row>
    <row r="1334" spans="1:6" x14ac:dyDescent="0.35">
      <c r="A1334" s="87">
        <v>45463</v>
      </c>
      <c r="B1334" s="2" t="s">
        <v>1292</v>
      </c>
      <c r="C1334" s="2" t="s">
        <v>84</v>
      </c>
      <c r="D1334" s="2" t="s">
        <v>1540</v>
      </c>
      <c r="E1334" s="89"/>
      <c r="F1334" s="89"/>
    </row>
    <row r="1335" spans="1:6" x14ac:dyDescent="0.35">
      <c r="A1335" s="87">
        <v>45463</v>
      </c>
      <c r="B1335" s="2" t="s">
        <v>1293</v>
      </c>
      <c r="C1335" s="2" t="s">
        <v>84</v>
      </c>
      <c r="D1335" s="2" t="s">
        <v>1541</v>
      </c>
      <c r="E1335" s="89"/>
      <c r="F1335" s="89"/>
    </row>
    <row r="1336" spans="1:6" x14ac:dyDescent="0.35">
      <c r="A1336" s="87">
        <v>45463</v>
      </c>
      <c r="B1336" s="2" t="s">
        <v>1294</v>
      </c>
      <c r="C1336" s="2" t="s">
        <v>84</v>
      </c>
      <c r="D1336" s="2" t="s">
        <v>1542</v>
      </c>
      <c r="E1336" s="89"/>
      <c r="F1336" s="89"/>
    </row>
    <row r="1337" spans="1:6" x14ac:dyDescent="0.35">
      <c r="A1337" s="87">
        <v>45463</v>
      </c>
      <c r="B1337" s="2" t="s">
        <v>1295</v>
      </c>
      <c r="C1337" s="2" t="s">
        <v>84</v>
      </c>
      <c r="D1337" s="2" t="s">
        <v>1543</v>
      </c>
      <c r="E1337" s="89"/>
      <c r="F1337" s="89"/>
    </row>
    <row r="1338" spans="1:6" x14ac:dyDescent="0.35">
      <c r="A1338" s="87">
        <v>45464</v>
      </c>
      <c r="B1338" s="2" t="s">
        <v>1296</v>
      </c>
      <c r="C1338" s="2" t="s">
        <v>84</v>
      </c>
      <c r="D1338" s="2" t="s">
        <v>1544</v>
      </c>
      <c r="E1338" s="89"/>
      <c r="F1338" s="89"/>
    </row>
    <row r="1339" spans="1:6" x14ac:dyDescent="0.35">
      <c r="A1339" s="87">
        <v>45464</v>
      </c>
      <c r="B1339" s="2" t="s">
        <v>1297</v>
      </c>
      <c r="C1339" s="2" t="s">
        <v>84</v>
      </c>
      <c r="D1339" s="2" t="s">
        <v>1545</v>
      </c>
      <c r="E1339" s="89"/>
      <c r="F1339" s="89"/>
    </row>
    <row r="1340" spans="1:6" x14ac:dyDescent="0.35">
      <c r="A1340" s="87">
        <v>45467</v>
      </c>
      <c r="B1340" s="2" t="s">
        <v>1253</v>
      </c>
      <c r="C1340" s="2" t="s">
        <v>84</v>
      </c>
      <c r="D1340" s="2" t="s">
        <v>1058</v>
      </c>
      <c r="E1340" s="89"/>
      <c r="F1340" s="89"/>
    </row>
    <row r="1341" spans="1:6" x14ac:dyDescent="0.35">
      <c r="A1341" s="87">
        <v>45468</v>
      </c>
      <c r="B1341" s="2" t="s">
        <v>1298</v>
      </c>
      <c r="C1341" s="2" t="s">
        <v>84</v>
      </c>
      <c r="D1341" s="2" t="s">
        <v>1546</v>
      </c>
      <c r="E1341" s="89"/>
      <c r="F1341" s="89"/>
    </row>
    <row r="1342" spans="1:6" x14ac:dyDescent="0.35">
      <c r="A1342" s="87">
        <v>45468</v>
      </c>
      <c r="B1342" s="2" t="s">
        <v>1261</v>
      </c>
      <c r="C1342" s="2" t="s">
        <v>84</v>
      </c>
      <c r="D1342" s="2" t="s">
        <v>1533</v>
      </c>
      <c r="E1342" s="89"/>
      <c r="F1342" s="89"/>
    </row>
    <row r="1343" spans="1:6" x14ac:dyDescent="0.35">
      <c r="A1343" s="87">
        <v>45468</v>
      </c>
      <c r="B1343" s="2" t="s">
        <v>1270</v>
      </c>
      <c r="C1343" s="2" t="s">
        <v>84</v>
      </c>
      <c r="D1343" s="2" t="s">
        <v>1099</v>
      </c>
      <c r="E1343" s="89"/>
      <c r="F1343" s="89"/>
    </row>
    <row r="1344" spans="1:6" x14ac:dyDescent="0.35">
      <c r="A1344" s="87">
        <v>45468</v>
      </c>
      <c r="B1344" s="2" t="s">
        <v>1299</v>
      </c>
      <c r="C1344" s="2" t="s">
        <v>84</v>
      </c>
      <c r="D1344" s="2" t="s">
        <v>1547</v>
      </c>
      <c r="E1344" s="89"/>
      <c r="F1344" s="89"/>
    </row>
    <row r="1345" spans="1:6" x14ac:dyDescent="0.35">
      <c r="A1345" s="87">
        <v>45468</v>
      </c>
      <c r="B1345" s="2" t="s">
        <v>1170</v>
      </c>
      <c r="C1345" s="2" t="s">
        <v>84</v>
      </c>
      <c r="D1345" s="2" t="s">
        <v>1099</v>
      </c>
      <c r="E1345" s="89"/>
      <c r="F1345" s="89"/>
    </row>
    <row r="1346" spans="1:6" x14ac:dyDescent="0.35">
      <c r="A1346" s="87">
        <v>45469</v>
      </c>
      <c r="B1346" s="2" t="s">
        <v>1300</v>
      </c>
      <c r="C1346" s="2" t="s">
        <v>84</v>
      </c>
      <c r="D1346" s="2" t="s">
        <v>1099</v>
      </c>
      <c r="E1346" s="89"/>
      <c r="F1346" s="89"/>
    </row>
    <row r="1347" spans="1:6" x14ac:dyDescent="0.35">
      <c r="A1347" s="87">
        <v>45469</v>
      </c>
      <c r="B1347" s="2" t="s">
        <v>1301</v>
      </c>
      <c r="C1347" s="2" t="s">
        <v>84</v>
      </c>
      <c r="D1347" s="2" t="s">
        <v>1469</v>
      </c>
      <c r="E1347" s="89"/>
      <c r="F1347" s="89"/>
    </row>
    <row r="1348" spans="1:6" x14ac:dyDescent="0.35">
      <c r="A1348" s="87">
        <v>45471</v>
      </c>
      <c r="B1348" s="2" t="s">
        <v>1302</v>
      </c>
      <c r="C1348" s="2" t="s">
        <v>84</v>
      </c>
      <c r="D1348" s="2" t="s">
        <v>1548</v>
      </c>
      <c r="E1348" s="89"/>
      <c r="F1348" s="89"/>
    </row>
    <row r="1349" spans="1:6" x14ac:dyDescent="0.35">
      <c r="A1349" s="87">
        <v>45471</v>
      </c>
      <c r="B1349" s="2" t="s">
        <v>1303</v>
      </c>
      <c r="C1349" s="2" t="s">
        <v>84</v>
      </c>
      <c r="D1349" s="2" t="s">
        <v>1109</v>
      </c>
      <c r="E1349" s="89"/>
      <c r="F1349" s="89"/>
    </row>
    <row r="1350" spans="1:6" x14ac:dyDescent="0.35">
      <c r="A1350" s="87">
        <v>45474</v>
      </c>
      <c r="B1350" s="2" t="s">
        <v>1304</v>
      </c>
      <c r="C1350" s="2" t="s">
        <v>84</v>
      </c>
      <c r="D1350" s="2" t="s">
        <v>1549</v>
      </c>
      <c r="E1350" s="89"/>
      <c r="F1350" s="89"/>
    </row>
    <row r="1351" spans="1:6" x14ac:dyDescent="0.35">
      <c r="A1351" s="87">
        <v>45474</v>
      </c>
      <c r="B1351" s="2" t="s">
        <v>1253</v>
      </c>
      <c r="C1351" s="2" t="s">
        <v>84</v>
      </c>
      <c r="D1351" s="2" t="s">
        <v>1058</v>
      </c>
      <c r="E1351" s="89"/>
      <c r="F1351" s="89"/>
    </row>
    <row r="1352" spans="1:6" x14ac:dyDescent="0.35">
      <c r="A1352" s="87">
        <v>45474</v>
      </c>
      <c r="B1352" s="2" t="s">
        <v>1254</v>
      </c>
      <c r="C1352" s="2" t="s">
        <v>84</v>
      </c>
      <c r="D1352" s="2" t="s">
        <v>1467</v>
      </c>
      <c r="E1352" s="89"/>
      <c r="F1352" s="89"/>
    </row>
    <row r="1353" spans="1:6" x14ac:dyDescent="0.35">
      <c r="A1353" s="87">
        <v>45474</v>
      </c>
      <c r="B1353" s="2" t="s">
        <v>831</v>
      </c>
      <c r="C1353" s="2" t="s">
        <v>84</v>
      </c>
      <c r="D1353" s="2" t="s">
        <v>1469</v>
      </c>
      <c r="E1353" s="89"/>
      <c r="F1353" s="89"/>
    </row>
    <row r="1354" spans="1:6" x14ac:dyDescent="0.35">
      <c r="A1354" s="87">
        <v>45475</v>
      </c>
      <c r="B1354" s="2" t="s">
        <v>1305</v>
      </c>
      <c r="C1354" s="2" t="s">
        <v>84</v>
      </c>
      <c r="D1354" s="2" t="s">
        <v>1108</v>
      </c>
      <c r="E1354" s="89"/>
      <c r="F1354" s="89"/>
    </row>
    <row r="1355" spans="1:6" x14ac:dyDescent="0.35">
      <c r="A1355" s="87">
        <v>45475</v>
      </c>
      <c r="B1355" s="2" t="s">
        <v>1306</v>
      </c>
      <c r="C1355" s="2" t="s">
        <v>84</v>
      </c>
      <c r="D1355" s="2" t="s">
        <v>1058</v>
      </c>
      <c r="E1355" s="89"/>
      <c r="F1355" s="89"/>
    </row>
    <row r="1356" spans="1:6" x14ac:dyDescent="0.35">
      <c r="A1356" s="87">
        <v>45475</v>
      </c>
      <c r="B1356" s="2" t="s">
        <v>1307</v>
      </c>
      <c r="C1356" s="2" t="s">
        <v>84</v>
      </c>
      <c r="D1356" s="2" t="s">
        <v>1550</v>
      </c>
      <c r="E1356" s="89"/>
      <c r="F1356" s="89"/>
    </row>
    <row r="1357" spans="1:6" x14ac:dyDescent="0.35">
      <c r="A1357" s="87">
        <v>45476</v>
      </c>
      <c r="B1357" s="2" t="s">
        <v>1308</v>
      </c>
      <c r="C1357" s="2" t="s">
        <v>84</v>
      </c>
      <c r="D1357" s="2" t="s">
        <v>1467</v>
      </c>
      <c r="E1357" s="89"/>
      <c r="F1357" s="89"/>
    </row>
    <row r="1358" spans="1:6" x14ac:dyDescent="0.35">
      <c r="A1358" s="87">
        <v>45476</v>
      </c>
      <c r="B1358" s="2" t="s">
        <v>1309</v>
      </c>
      <c r="C1358" s="2" t="s">
        <v>84</v>
      </c>
      <c r="D1358" s="2" t="s">
        <v>1079</v>
      </c>
      <c r="E1358" s="89"/>
      <c r="F1358" s="89"/>
    </row>
    <row r="1359" spans="1:6" x14ac:dyDescent="0.35">
      <c r="A1359" s="87">
        <v>45477</v>
      </c>
      <c r="B1359" s="2" t="s">
        <v>990</v>
      </c>
      <c r="C1359" s="2" t="s">
        <v>84</v>
      </c>
      <c r="D1359" s="2" t="s">
        <v>1469</v>
      </c>
      <c r="E1359" s="89"/>
      <c r="F1359" s="89"/>
    </row>
    <row r="1360" spans="1:6" x14ac:dyDescent="0.35">
      <c r="A1360" s="87">
        <v>45477</v>
      </c>
      <c r="B1360" s="2" t="s">
        <v>547</v>
      </c>
      <c r="C1360" s="2" t="s">
        <v>84</v>
      </c>
      <c r="D1360" s="2" t="s">
        <v>1469</v>
      </c>
      <c r="E1360" s="89"/>
      <c r="F1360" s="89"/>
    </row>
    <row r="1361" spans="1:6" x14ac:dyDescent="0.35">
      <c r="A1361" s="87">
        <v>45477</v>
      </c>
      <c r="B1361" s="2" t="s">
        <v>1311</v>
      </c>
      <c r="C1361" s="2" t="s">
        <v>84</v>
      </c>
      <c r="D1361" s="2" t="s">
        <v>1552</v>
      </c>
      <c r="E1361" s="89"/>
      <c r="F1361" s="89"/>
    </row>
    <row r="1362" spans="1:6" x14ac:dyDescent="0.35">
      <c r="A1362" s="87">
        <v>45477</v>
      </c>
      <c r="B1362" s="2" t="s">
        <v>1190</v>
      </c>
      <c r="C1362" s="2" t="s">
        <v>84</v>
      </c>
      <c r="D1362" s="2" t="s">
        <v>1469</v>
      </c>
      <c r="E1362" s="89"/>
      <c r="F1362" s="89"/>
    </row>
    <row r="1363" spans="1:6" x14ac:dyDescent="0.35">
      <c r="A1363" s="87">
        <v>45478</v>
      </c>
      <c r="B1363" s="2" t="s">
        <v>1310</v>
      </c>
      <c r="C1363" s="2" t="s">
        <v>84</v>
      </c>
      <c r="D1363" s="2" t="s">
        <v>1551</v>
      </c>
      <c r="E1363" s="89"/>
      <c r="F1363" s="89"/>
    </row>
    <row r="1364" spans="1:6" x14ac:dyDescent="0.35">
      <c r="A1364" s="87">
        <v>45478</v>
      </c>
      <c r="B1364" s="2" t="s">
        <v>1629</v>
      </c>
      <c r="C1364" s="2" t="s">
        <v>594</v>
      </c>
      <c r="D1364" s="2" t="s">
        <v>1634</v>
      </c>
      <c r="E1364" s="89">
        <v>4419.26</v>
      </c>
      <c r="F1364" s="89">
        <v>5303.1120000000001</v>
      </c>
    </row>
    <row r="1365" spans="1:6" x14ac:dyDescent="0.35">
      <c r="A1365" s="87">
        <v>45481</v>
      </c>
      <c r="B1365" s="2" t="s">
        <v>1253</v>
      </c>
      <c r="C1365" s="2" t="s">
        <v>84</v>
      </c>
      <c r="D1365" s="2" t="s">
        <v>1058</v>
      </c>
      <c r="E1365" s="89"/>
      <c r="F1365" s="89"/>
    </row>
    <row r="1366" spans="1:6" x14ac:dyDescent="0.35">
      <c r="A1366" s="87">
        <v>45481</v>
      </c>
      <c r="B1366" s="2" t="s">
        <v>1254</v>
      </c>
      <c r="C1366" s="2" t="s">
        <v>84</v>
      </c>
      <c r="D1366" s="2" t="s">
        <v>1467</v>
      </c>
      <c r="E1366" s="89"/>
      <c r="F1366" s="89"/>
    </row>
    <row r="1367" spans="1:6" x14ac:dyDescent="0.35">
      <c r="A1367" s="87">
        <v>45482</v>
      </c>
      <c r="B1367" s="2" t="s">
        <v>1312</v>
      </c>
      <c r="C1367" s="2" t="s">
        <v>84</v>
      </c>
      <c r="D1367" s="2" t="s">
        <v>1553</v>
      </c>
      <c r="E1367" s="89"/>
      <c r="F1367" s="89"/>
    </row>
    <row r="1368" spans="1:6" x14ac:dyDescent="0.35">
      <c r="A1368" s="87">
        <v>45482</v>
      </c>
      <c r="B1368" s="2" t="s">
        <v>1313</v>
      </c>
      <c r="C1368" s="2" t="s">
        <v>84</v>
      </c>
      <c r="D1368" s="2" t="s">
        <v>1554</v>
      </c>
      <c r="E1368" s="89"/>
      <c r="F1368" s="89"/>
    </row>
    <row r="1369" spans="1:6" x14ac:dyDescent="0.35">
      <c r="A1369" s="87">
        <v>45482</v>
      </c>
      <c r="B1369" s="2" t="s">
        <v>1314</v>
      </c>
      <c r="C1369" s="2" t="s">
        <v>84</v>
      </c>
      <c r="D1369" s="2" t="s">
        <v>1513</v>
      </c>
      <c r="E1369" s="89"/>
      <c r="F1369" s="89"/>
    </row>
    <row r="1370" spans="1:6" x14ac:dyDescent="0.35">
      <c r="A1370" s="87">
        <v>45482</v>
      </c>
      <c r="B1370" s="2" t="s">
        <v>1315</v>
      </c>
      <c r="C1370" s="2" t="s">
        <v>84</v>
      </c>
      <c r="D1370" s="2" t="s">
        <v>1469</v>
      </c>
      <c r="E1370" s="89"/>
      <c r="F1370" s="89"/>
    </row>
    <row r="1371" spans="1:6" x14ac:dyDescent="0.35">
      <c r="A1371" s="87">
        <v>45482</v>
      </c>
      <c r="B1371" s="2" t="s">
        <v>1316</v>
      </c>
      <c r="C1371" s="2" t="s">
        <v>84</v>
      </c>
      <c r="D1371" s="2" t="s">
        <v>1555</v>
      </c>
      <c r="E1371" s="89"/>
      <c r="F1371" s="89"/>
    </row>
    <row r="1372" spans="1:6" x14ac:dyDescent="0.35">
      <c r="A1372" s="87">
        <v>45482</v>
      </c>
      <c r="B1372" s="2" t="s">
        <v>1317</v>
      </c>
      <c r="C1372" s="2" t="s">
        <v>84</v>
      </c>
      <c r="D1372" s="2" t="s">
        <v>1497</v>
      </c>
      <c r="E1372" s="89"/>
      <c r="F1372" s="89"/>
    </row>
    <row r="1373" spans="1:6" x14ac:dyDescent="0.35">
      <c r="A1373" s="87">
        <v>45482</v>
      </c>
      <c r="B1373" s="2" t="s">
        <v>1318</v>
      </c>
      <c r="C1373" s="2" t="s">
        <v>84</v>
      </c>
      <c r="D1373" s="2" t="s">
        <v>1556</v>
      </c>
      <c r="E1373" s="89"/>
      <c r="F1373" s="89"/>
    </row>
    <row r="1374" spans="1:6" x14ac:dyDescent="0.35">
      <c r="A1374" s="87">
        <v>45482</v>
      </c>
      <c r="B1374" s="2" t="s">
        <v>1319</v>
      </c>
      <c r="C1374" s="2" t="s">
        <v>84</v>
      </c>
      <c r="D1374" s="2" t="s">
        <v>1557</v>
      </c>
      <c r="E1374" s="89"/>
      <c r="F1374" s="89"/>
    </row>
    <row r="1375" spans="1:6" x14ac:dyDescent="0.35">
      <c r="A1375" s="87">
        <v>45483</v>
      </c>
      <c r="B1375" s="2" t="s">
        <v>1317</v>
      </c>
      <c r="C1375" s="2" t="s">
        <v>84</v>
      </c>
      <c r="D1375" s="2" t="s">
        <v>1497</v>
      </c>
      <c r="E1375" s="89"/>
      <c r="F1375" s="89"/>
    </row>
    <row r="1376" spans="1:6" x14ac:dyDescent="0.35">
      <c r="A1376" s="87">
        <v>45484</v>
      </c>
      <c r="B1376" s="2" t="s">
        <v>1318</v>
      </c>
      <c r="C1376" s="2" t="s">
        <v>84</v>
      </c>
      <c r="D1376" s="2" t="s">
        <v>1556</v>
      </c>
      <c r="E1376" s="89"/>
      <c r="F1376" s="89"/>
    </row>
    <row r="1377" spans="1:6" x14ac:dyDescent="0.35">
      <c r="A1377" s="87">
        <v>45484</v>
      </c>
      <c r="B1377" s="2" t="s">
        <v>1320</v>
      </c>
      <c r="C1377" s="2" t="s">
        <v>84</v>
      </c>
      <c r="D1377" s="2" t="s">
        <v>1467</v>
      </c>
      <c r="E1377" s="89"/>
      <c r="F1377" s="89"/>
    </row>
    <row r="1378" spans="1:6" x14ac:dyDescent="0.35">
      <c r="A1378" s="87">
        <v>45484</v>
      </c>
      <c r="B1378" s="2" t="s">
        <v>1321</v>
      </c>
      <c r="C1378" s="2" t="s">
        <v>84</v>
      </c>
      <c r="D1378" s="2" t="s">
        <v>1089</v>
      </c>
      <c r="E1378" s="89"/>
      <c r="F1378" s="89"/>
    </row>
    <row r="1379" spans="1:6" x14ac:dyDescent="0.35">
      <c r="A1379" s="87">
        <v>45488</v>
      </c>
      <c r="B1379" s="2" t="s">
        <v>1322</v>
      </c>
      <c r="C1379" s="2" t="s">
        <v>84</v>
      </c>
      <c r="D1379" s="2" t="s">
        <v>1558</v>
      </c>
      <c r="E1379" s="89"/>
      <c r="F1379" s="89"/>
    </row>
    <row r="1380" spans="1:6" x14ac:dyDescent="0.35">
      <c r="A1380" s="87">
        <v>45488</v>
      </c>
      <c r="B1380" s="2" t="s">
        <v>1190</v>
      </c>
      <c r="C1380" s="2" t="s">
        <v>84</v>
      </c>
      <c r="D1380" s="2" t="s">
        <v>1469</v>
      </c>
      <c r="E1380" s="89"/>
      <c r="F1380" s="89"/>
    </row>
    <row r="1381" spans="1:6" x14ac:dyDescent="0.35">
      <c r="A1381" s="87">
        <v>45491</v>
      </c>
      <c r="B1381" s="2" t="s">
        <v>1317</v>
      </c>
      <c r="C1381" s="2" t="s">
        <v>84</v>
      </c>
      <c r="D1381" s="2" t="s">
        <v>1458</v>
      </c>
      <c r="E1381" s="89"/>
      <c r="F1381" s="89"/>
    </row>
    <row r="1382" spans="1:6" x14ac:dyDescent="0.35">
      <c r="A1382" s="87">
        <v>45491</v>
      </c>
      <c r="B1382" s="2" t="s">
        <v>1323</v>
      </c>
      <c r="C1382" s="2" t="s">
        <v>84</v>
      </c>
      <c r="D1382" s="2" t="s">
        <v>1518</v>
      </c>
      <c r="E1382" s="89"/>
      <c r="F1382" s="89"/>
    </row>
    <row r="1383" spans="1:6" x14ac:dyDescent="0.35">
      <c r="A1383" s="87">
        <v>45492</v>
      </c>
      <c r="B1383" s="2" t="s">
        <v>1324</v>
      </c>
      <c r="C1383" s="2" t="s">
        <v>84</v>
      </c>
      <c r="D1383" s="2" t="s">
        <v>1469</v>
      </c>
      <c r="E1383" s="89"/>
      <c r="F1383" s="89"/>
    </row>
    <row r="1384" spans="1:6" x14ac:dyDescent="0.35">
      <c r="A1384" s="87">
        <v>45495</v>
      </c>
      <c r="B1384" s="2" t="s">
        <v>831</v>
      </c>
      <c r="C1384" s="2" t="s">
        <v>84</v>
      </c>
      <c r="D1384" s="2" t="s">
        <v>1469</v>
      </c>
      <c r="E1384" s="89"/>
      <c r="F1384" s="89"/>
    </row>
    <row r="1385" spans="1:6" x14ac:dyDescent="0.35">
      <c r="A1385" s="87">
        <v>45497</v>
      </c>
      <c r="B1385" s="2" t="s">
        <v>1325</v>
      </c>
      <c r="C1385" s="2" t="s">
        <v>84</v>
      </c>
      <c r="D1385" s="2" t="s">
        <v>1116</v>
      </c>
      <c r="E1385" s="89"/>
      <c r="F1385" s="89"/>
    </row>
    <row r="1386" spans="1:6" x14ac:dyDescent="0.35">
      <c r="A1386" s="87">
        <v>45502</v>
      </c>
      <c r="B1386" s="2" t="s">
        <v>831</v>
      </c>
      <c r="C1386" s="2" t="s">
        <v>84</v>
      </c>
      <c r="D1386" s="2" t="s">
        <v>1469</v>
      </c>
      <c r="E1386" s="89"/>
      <c r="F1386" s="89"/>
    </row>
    <row r="1387" spans="1:6" x14ac:dyDescent="0.35">
      <c r="A1387" s="87">
        <v>45505</v>
      </c>
      <c r="B1387" s="2" t="s">
        <v>1326</v>
      </c>
      <c r="C1387" s="2" t="s">
        <v>84</v>
      </c>
      <c r="D1387" s="2" t="s">
        <v>1559</v>
      </c>
      <c r="E1387" s="89"/>
      <c r="F1387" s="89"/>
    </row>
    <row r="1388" spans="1:6" x14ac:dyDescent="0.35">
      <c r="A1388" s="87">
        <v>45531</v>
      </c>
      <c r="B1388" s="2" t="s">
        <v>1327</v>
      </c>
      <c r="C1388" s="2" t="s">
        <v>84</v>
      </c>
      <c r="D1388" s="2" t="s">
        <v>1497</v>
      </c>
      <c r="E1388" s="89"/>
      <c r="F1388" s="89"/>
    </row>
    <row r="1389" spans="1:6" x14ac:dyDescent="0.35">
      <c r="A1389" s="87">
        <v>45533</v>
      </c>
      <c r="B1389" s="2" t="s">
        <v>825</v>
      </c>
      <c r="C1389" s="2" t="s">
        <v>84</v>
      </c>
      <c r="D1389" s="2" t="s">
        <v>600</v>
      </c>
      <c r="E1389" s="89"/>
      <c r="F1389" s="89"/>
    </row>
    <row r="1390" spans="1:6" x14ac:dyDescent="0.35">
      <c r="A1390" s="87">
        <v>45537</v>
      </c>
      <c r="B1390" s="2" t="s">
        <v>884</v>
      </c>
      <c r="C1390" s="2" t="s">
        <v>84</v>
      </c>
      <c r="D1390" s="2" t="s">
        <v>1469</v>
      </c>
      <c r="E1390" s="89"/>
      <c r="F1390" s="89"/>
    </row>
    <row r="1391" spans="1:6" x14ac:dyDescent="0.35">
      <c r="A1391" s="87">
        <v>45538</v>
      </c>
      <c r="B1391" s="2" t="s">
        <v>1328</v>
      </c>
      <c r="C1391" s="2" t="s">
        <v>84</v>
      </c>
      <c r="D1391" s="2" t="s">
        <v>1560</v>
      </c>
      <c r="E1391" s="89"/>
      <c r="F1391" s="89"/>
    </row>
    <row r="1392" spans="1:6" x14ac:dyDescent="0.35">
      <c r="A1392" s="87">
        <v>45539</v>
      </c>
      <c r="B1392" s="2" t="s">
        <v>1329</v>
      </c>
      <c r="C1392" s="2" t="s">
        <v>84</v>
      </c>
      <c r="D1392" s="2" t="s">
        <v>1561</v>
      </c>
      <c r="E1392" s="89"/>
      <c r="F1392" s="89"/>
    </row>
    <row r="1393" spans="1:6" x14ac:dyDescent="0.35">
      <c r="A1393" s="87">
        <v>45540</v>
      </c>
      <c r="B1393" s="2" t="s">
        <v>1330</v>
      </c>
      <c r="C1393" s="2" t="s">
        <v>84</v>
      </c>
      <c r="D1393" s="2" t="s">
        <v>1104</v>
      </c>
      <c r="E1393" s="89"/>
      <c r="F1393" s="89"/>
    </row>
    <row r="1394" spans="1:6" x14ac:dyDescent="0.35">
      <c r="A1394" s="87">
        <v>45540</v>
      </c>
      <c r="B1394" s="2" t="s">
        <v>1331</v>
      </c>
      <c r="C1394" s="2" t="s">
        <v>84</v>
      </c>
      <c r="D1394" s="2" t="s">
        <v>1562</v>
      </c>
      <c r="E1394" s="89"/>
      <c r="F1394" s="89"/>
    </row>
    <row r="1395" spans="1:6" x14ac:dyDescent="0.35">
      <c r="A1395" s="87">
        <v>45540</v>
      </c>
      <c r="B1395" s="2" t="s">
        <v>1332</v>
      </c>
      <c r="C1395" s="2" t="s">
        <v>84</v>
      </c>
      <c r="D1395" s="2" t="s">
        <v>1563</v>
      </c>
      <c r="E1395" s="89"/>
      <c r="F1395" s="89"/>
    </row>
    <row r="1396" spans="1:6" x14ac:dyDescent="0.35">
      <c r="A1396" s="87">
        <v>45541</v>
      </c>
      <c r="B1396" s="2" t="s">
        <v>1333</v>
      </c>
      <c r="C1396" s="2" t="s">
        <v>84</v>
      </c>
      <c r="D1396" s="2" t="s">
        <v>1564</v>
      </c>
      <c r="E1396" s="89"/>
      <c r="F1396" s="89"/>
    </row>
    <row r="1397" spans="1:6" x14ac:dyDescent="0.35">
      <c r="A1397" s="87">
        <v>45541</v>
      </c>
      <c r="B1397" s="2" t="s">
        <v>1334</v>
      </c>
      <c r="C1397" s="2" t="s">
        <v>84</v>
      </c>
      <c r="D1397" s="2" t="s">
        <v>1565</v>
      </c>
      <c r="E1397" s="89"/>
      <c r="F1397" s="89"/>
    </row>
    <row r="1398" spans="1:6" x14ac:dyDescent="0.35">
      <c r="A1398" s="87">
        <v>45544</v>
      </c>
      <c r="B1398" s="2" t="s">
        <v>1335</v>
      </c>
      <c r="C1398" s="2" t="s">
        <v>84</v>
      </c>
      <c r="D1398" s="2" t="s">
        <v>1566</v>
      </c>
      <c r="E1398" s="89"/>
      <c r="F1398" s="89"/>
    </row>
    <row r="1399" spans="1:6" x14ac:dyDescent="0.35">
      <c r="A1399" s="87">
        <v>45544</v>
      </c>
      <c r="B1399" s="2" t="s">
        <v>1322</v>
      </c>
      <c r="C1399" s="2" t="s">
        <v>84</v>
      </c>
      <c r="D1399" s="2" t="s">
        <v>1558</v>
      </c>
      <c r="E1399" s="89"/>
      <c r="F1399" s="89"/>
    </row>
    <row r="1400" spans="1:6" x14ac:dyDescent="0.35">
      <c r="A1400" s="87">
        <v>45544</v>
      </c>
      <c r="B1400" s="2" t="s">
        <v>1254</v>
      </c>
      <c r="C1400" s="2" t="s">
        <v>84</v>
      </c>
      <c r="D1400" s="2" t="s">
        <v>1467</v>
      </c>
      <c r="E1400" s="89"/>
      <c r="F1400" s="89"/>
    </row>
    <row r="1401" spans="1:6" x14ac:dyDescent="0.35">
      <c r="A1401" s="87">
        <v>45545</v>
      </c>
      <c r="B1401" s="2" t="s">
        <v>1336</v>
      </c>
      <c r="C1401" s="2" t="s">
        <v>84</v>
      </c>
      <c r="D1401" s="2" t="s">
        <v>1087</v>
      </c>
      <c r="E1401" s="89"/>
      <c r="F1401" s="89"/>
    </row>
    <row r="1402" spans="1:6" x14ac:dyDescent="0.35">
      <c r="A1402" s="87">
        <v>45547</v>
      </c>
      <c r="B1402" s="2" t="s">
        <v>1337</v>
      </c>
      <c r="C1402" s="2" t="s">
        <v>84</v>
      </c>
      <c r="D1402" s="2" t="s">
        <v>1567</v>
      </c>
      <c r="E1402" s="89"/>
      <c r="F1402" s="89"/>
    </row>
    <row r="1403" spans="1:6" x14ac:dyDescent="0.35">
      <c r="A1403" s="87">
        <v>45548</v>
      </c>
      <c r="B1403" s="2" t="s">
        <v>1324</v>
      </c>
      <c r="C1403" s="2" t="s">
        <v>84</v>
      </c>
      <c r="D1403" s="2" t="s">
        <v>1469</v>
      </c>
      <c r="E1403" s="89"/>
      <c r="F1403" s="89"/>
    </row>
    <row r="1404" spans="1:6" x14ac:dyDescent="0.35">
      <c r="A1404" s="87">
        <v>45548</v>
      </c>
      <c r="B1404" s="2" t="s">
        <v>1338</v>
      </c>
      <c r="C1404" s="2" t="s">
        <v>84</v>
      </c>
      <c r="D1404" s="2" t="s">
        <v>1568</v>
      </c>
      <c r="E1404" s="89"/>
      <c r="F1404" s="89"/>
    </row>
    <row r="1405" spans="1:6" x14ac:dyDescent="0.35">
      <c r="A1405" s="87">
        <v>45548</v>
      </c>
      <c r="B1405" s="2" t="s">
        <v>1339</v>
      </c>
      <c r="C1405" s="2" t="s">
        <v>84</v>
      </c>
      <c r="D1405" s="2" t="s">
        <v>1569</v>
      </c>
      <c r="E1405" s="89"/>
      <c r="F1405" s="89"/>
    </row>
    <row r="1406" spans="1:6" x14ac:dyDescent="0.35">
      <c r="A1406" s="87">
        <v>45551</v>
      </c>
      <c r="B1406" s="2" t="s">
        <v>1340</v>
      </c>
      <c r="C1406" s="2" t="s">
        <v>84</v>
      </c>
      <c r="D1406" s="2" t="s">
        <v>1058</v>
      </c>
      <c r="E1406" s="89"/>
      <c r="F1406" s="89"/>
    </row>
    <row r="1407" spans="1:6" x14ac:dyDescent="0.35">
      <c r="A1407" s="87">
        <v>45551</v>
      </c>
      <c r="B1407" s="2" t="s">
        <v>1630</v>
      </c>
      <c r="C1407" s="2" t="s">
        <v>594</v>
      </c>
      <c r="D1407" s="2" t="s">
        <v>1066</v>
      </c>
      <c r="E1407" s="89">
        <v>800</v>
      </c>
      <c r="F1407" s="89">
        <v>960</v>
      </c>
    </row>
    <row r="1408" spans="1:6" x14ac:dyDescent="0.35">
      <c r="A1408" s="87">
        <v>45552</v>
      </c>
      <c r="B1408" s="2" t="s">
        <v>683</v>
      </c>
      <c r="C1408" s="2" t="s">
        <v>84</v>
      </c>
      <c r="D1408" s="2" t="s">
        <v>1570</v>
      </c>
      <c r="E1408" s="89"/>
      <c r="F1408" s="89"/>
    </row>
    <row r="1409" spans="1:6" x14ac:dyDescent="0.35">
      <c r="A1409" s="87">
        <v>45553</v>
      </c>
      <c r="B1409" s="2" t="s">
        <v>1341</v>
      </c>
      <c r="C1409" s="2" t="s">
        <v>84</v>
      </c>
      <c r="D1409" s="2" t="s">
        <v>1571</v>
      </c>
      <c r="E1409" s="89"/>
      <c r="F1409" s="89"/>
    </row>
    <row r="1410" spans="1:6" x14ac:dyDescent="0.35">
      <c r="A1410" s="87">
        <v>45554</v>
      </c>
      <c r="B1410" s="2" t="s">
        <v>1342</v>
      </c>
      <c r="C1410" s="2" t="s">
        <v>84</v>
      </c>
      <c r="D1410" s="2" t="s">
        <v>1519</v>
      </c>
      <c r="E1410" s="89"/>
      <c r="F1410" s="89"/>
    </row>
    <row r="1411" spans="1:6" x14ac:dyDescent="0.35">
      <c r="A1411" s="87">
        <v>45560</v>
      </c>
      <c r="B1411" s="2" t="s">
        <v>1639</v>
      </c>
      <c r="C1411" s="2" t="s">
        <v>229</v>
      </c>
      <c r="D1411" s="2" t="s">
        <v>1644</v>
      </c>
      <c r="E1411" s="89">
        <v>4435.43</v>
      </c>
      <c r="F1411" s="89">
        <v>5322.5160000000005</v>
      </c>
    </row>
    <row r="1412" spans="1:6" x14ac:dyDescent="0.35">
      <c r="A1412" s="87">
        <v>45562</v>
      </c>
      <c r="B1412" s="2" t="s">
        <v>1343</v>
      </c>
      <c r="C1412" s="2" t="s">
        <v>84</v>
      </c>
      <c r="D1412" s="2" t="s">
        <v>1572</v>
      </c>
      <c r="E1412" s="89"/>
      <c r="F1412" s="89"/>
    </row>
    <row r="1413" spans="1:6" x14ac:dyDescent="0.35">
      <c r="A1413" s="87">
        <v>45563</v>
      </c>
      <c r="B1413" s="2" t="s">
        <v>1344</v>
      </c>
      <c r="C1413" s="2" t="s">
        <v>84</v>
      </c>
      <c r="D1413" s="2" t="s">
        <v>1573</v>
      </c>
      <c r="E1413" s="89"/>
      <c r="F1413" s="89"/>
    </row>
    <row r="1414" spans="1:6" x14ac:dyDescent="0.35">
      <c r="A1414" s="87">
        <v>45565</v>
      </c>
      <c r="B1414" s="2" t="s">
        <v>1199</v>
      </c>
      <c r="C1414" s="2" t="s">
        <v>84</v>
      </c>
      <c r="D1414" s="2" t="s">
        <v>1488</v>
      </c>
      <c r="E1414" s="89"/>
      <c r="F1414" s="89"/>
    </row>
    <row r="1415" spans="1:6" x14ac:dyDescent="0.35">
      <c r="A1415" s="87">
        <v>45565</v>
      </c>
      <c r="B1415" s="2" t="s">
        <v>931</v>
      </c>
      <c r="C1415" s="2" t="s">
        <v>84</v>
      </c>
      <c r="D1415" s="2" t="s">
        <v>1089</v>
      </c>
      <c r="E1415" s="89"/>
      <c r="F1415" s="89"/>
    </row>
    <row r="1416" spans="1:6" x14ac:dyDescent="0.35">
      <c r="A1416" s="87">
        <v>45565</v>
      </c>
      <c r="B1416" s="2" t="s">
        <v>1254</v>
      </c>
      <c r="C1416" s="2" t="s">
        <v>84</v>
      </c>
      <c r="D1416" s="2" t="s">
        <v>1467</v>
      </c>
      <c r="E1416" s="89"/>
      <c r="F1416" s="89"/>
    </row>
    <row r="1417" spans="1:6" x14ac:dyDescent="0.35">
      <c r="A1417" s="87">
        <v>45566</v>
      </c>
      <c r="B1417" s="2" t="s">
        <v>1345</v>
      </c>
      <c r="C1417" s="2" t="s">
        <v>84</v>
      </c>
      <c r="D1417" s="2" t="s">
        <v>1574</v>
      </c>
      <c r="E1417" s="89"/>
      <c r="F1417" s="89"/>
    </row>
    <row r="1418" spans="1:6" x14ac:dyDescent="0.35">
      <c r="A1418" s="87">
        <v>45568</v>
      </c>
      <c r="B1418" s="2" t="s">
        <v>1346</v>
      </c>
      <c r="C1418" s="2" t="s">
        <v>84</v>
      </c>
      <c r="D1418" s="2" t="s">
        <v>1575</v>
      </c>
      <c r="E1418" s="89"/>
      <c r="F1418" s="89"/>
    </row>
    <row r="1419" spans="1:6" x14ac:dyDescent="0.35">
      <c r="A1419" s="87">
        <v>45568</v>
      </c>
      <c r="B1419" s="2" t="s">
        <v>1347</v>
      </c>
      <c r="C1419" s="2" t="s">
        <v>84</v>
      </c>
      <c r="D1419" s="2" t="s">
        <v>1567</v>
      </c>
      <c r="E1419" s="89"/>
      <c r="F1419" s="89"/>
    </row>
    <row r="1420" spans="1:6" x14ac:dyDescent="0.35">
      <c r="A1420" s="87">
        <v>45568</v>
      </c>
      <c r="B1420" s="2" t="s">
        <v>1640</v>
      </c>
      <c r="C1420" s="2" t="s">
        <v>229</v>
      </c>
      <c r="D1420" s="2" t="s">
        <v>781</v>
      </c>
      <c r="E1420" s="89">
        <v>9070.86</v>
      </c>
      <c r="F1420" s="89">
        <v>10885.032000000001</v>
      </c>
    </row>
    <row r="1421" spans="1:6" x14ac:dyDescent="0.35">
      <c r="A1421" s="87">
        <v>45569</v>
      </c>
      <c r="B1421" s="2" t="s">
        <v>1348</v>
      </c>
      <c r="C1421" s="2" t="s">
        <v>84</v>
      </c>
      <c r="D1421" s="2" t="s">
        <v>1109</v>
      </c>
      <c r="E1421" s="89"/>
      <c r="F1421" s="89"/>
    </row>
    <row r="1422" spans="1:6" x14ac:dyDescent="0.35">
      <c r="A1422" s="87">
        <v>45569</v>
      </c>
      <c r="B1422" s="2" t="s">
        <v>1649</v>
      </c>
      <c r="C1422" s="2" t="s">
        <v>164</v>
      </c>
      <c r="D1422" s="2" t="s">
        <v>1659</v>
      </c>
      <c r="E1422" s="89">
        <v>2470.86</v>
      </c>
      <c r="F1422" s="89">
        <v>2965.0320000000002</v>
      </c>
    </row>
    <row r="1423" spans="1:6" x14ac:dyDescent="0.35">
      <c r="A1423" s="87">
        <v>45572</v>
      </c>
      <c r="B1423" s="2" t="s">
        <v>1349</v>
      </c>
      <c r="C1423" s="2" t="s">
        <v>84</v>
      </c>
      <c r="D1423" s="2" t="s">
        <v>1576</v>
      </c>
      <c r="E1423" s="89"/>
      <c r="F1423" s="89"/>
    </row>
    <row r="1424" spans="1:6" x14ac:dyDescent="0.35">
      <c r="A1424" s="87">
        <v>45573</v>
      </c>
      <c r="B1424" s="2" t="s">
        <v>1350</v>
      </c>
      <c r="C1424" s="2" t="s">
        <v>84</v>
      </c>
      <c r="D1424" s="2" t="s">
        <v>1469</v>
      </c>
      <c r="E1424" s="89"/>
      <c r="F1424" s="89"/>
    </row>
    <row r="1425" spans="1:6" x14ac:dyDescent="0.35">
      <c r="A1425" s="87">
        <v>45573</v>
      </c>
      <c r="B1425" s="2" t="s">
        <v>1351</v>
      </c>
      <c r="C1425" s="2" t="s">
        <v>84</v>
      </c>
      <c r="D1425" s="2" t="s">
        <v>1079</v>
      </c>
      <c r="E1425" s="89"/>
      <c r="F1425" s="89"/>
    </row>
    <row r="1426" spans="1:6" x14ac:dyDescent="0.35">
      <c r="A1426" s="87">
        <v>45574</v>
      </c>
      <c r="B1426" s="2" t="s">
        <v>1352</v>
      </c>
      <c r="C1426" s="2" t="s">
        <v>84</v>
      </c>
      <c r="D1426" s="2" t="s">
        <v>597</v>
      </c>
      <c r="E1426" s="89"/>
      <c r="F1426" s="89"/>
    </row>
    <row r="1427" spans="1:6" x14ac:dyDescent="0.35">
      <c r="A1427" s="87">
        <v>45575</v>
      </c>
      <c r="B1427" s="2" t="s">
        <v>990</v>
      </c>
      <c r="C1427" s="2" t="s">
        <v>84</v>
      </c>
      <c r="D1427" s="2" t="s">
        <v>1469</v>
      </c>
      <c r="E1427" s="89"/>
      <c r="F1427" s="89"/>
    </row>
    <row r="1428" spans="1:6" x14ac:dyDescent="0.35">
      <c r="A1428" s="87">
        <v>45577</v>
      </c>
      <c r="B1428" s="2" t="s">
        <v>644</v>
      </c>
      <c r="C1428" s="2" t="s">
        <v>84</v>
      </c>
      <c r="D1428" s="2" t="s">
        <v>1458</v>
      </c>
      <c r="E1428" s="89"/>
      <c r="F1428" s="89"/>
    </row>
    <row r="1429" spans="1:6" x14ac:dyDescent="0.35">
      <c r="A1429" s="87">
        <v>45577</v>
      </c>
      <c r="B1429" s="2" t="s">
        <v>1650</v>
      </c>
      <c r="C1429" s="2" t="s">
        <v>164</v>
      </c>
      <c r="D1429" s="2" t="s">
        <v>1660</v>
      </c>
      <c r="E1429" s="89">
        <v>1600</v>
      </c>
      <c r="F1429" s="89">
        <v>1920</v>
      </c>
    </row>
    <row r="1430" spans="1:6" x14ac:dyDescent="0.35">
      <c r="A1430" s="87">
        <v>45579</v>
      </c>
      <c r="B1430" s="2" t="s">
        <v>1254</v>
      </c>
      <c r="C1430" s="2" t="s">
        <v>84</v>
      </c>
      <c r="D1430" s="2" t="s">
        <v>1467</v>
      </c>
      <c r="E1430" s="89"/>
      <c r="F1430" s="89"/>
    </row>
    <row r="1431" spans="1:6" x14ac:dyDescent="0.35">
      <c r="A1431" s="87">
        <v>45579</v>
      </c>
      <c r="B1431" s="2" t="s">
        <v>1353</v>
      </c>
      <c r="C1431" s="2" t="s">
        <v>84</v>
      </c>
      <c r="D1431" s="2" t="s">
        <v>1467</v>
      </c>
      <c r="E1431" s="89"/>
      <c r="F1431" s="89"/>
    </row>
    <row r="1432" spans="1:6" x14ac:dyDescent="0.35">
      <c r="A1432" s="87">
        <v>45579</v>
      </c>
      <c r="B1432" s="2" t="s">
        <v>831</v>
      </c>
      <c r="C1432" s="2" t="s">
        <v>84</v>
      </c>
      <c r="D1432" s="2" t="s">
        <v>1469</v>
      </c>
      <c r="E1432" s="89"/>
      <c r="F1432" s="89"/>
    </row>
    <row r="1433" spans="1:6" x14ac:dyDescent="0.35">
      <c r="A1433" s="87">
        <v>45580</v>
      </c>
      <c r="B1433" s="2" t="s">
        <v>1354</v>
      </c>
      <c r="C1433" s="2" t="s">
        <v>84</v>
      </c>
      <c r="D1433" s="2" t="s">
        <v>1554</v>
      </c>
      <c r="E1433" s="89"/>
      <c r="F1433" s="89"/>
    </row>
    <row r="1434" spans="1:6" x14ac:dyDescent="0.35">
      <c r="A1434" s="87">
        <v>45580</v>
      </c>
      <c r="B1434" s="2" t="s">
        <v>1355</v>
      </c>
      <c r="C1434" s="2" t="s">
        <v>84</v>
      </c>
      <c r="D1434" s="2" t="s">
        <v>1519</v>
      </c>
      <c r="E1434" s="89"/>
      <c r="F1434" s="89"/>
    </row>
    <row r="1435" spans="1:6" x14ac:dyDescent="0.35">
      <c r="A1435" s="87">
        <v>45580</v>
      </c>
      <c r="B1435" s="2" t="s">
        <v>1356</v>
      </c>
      <c r="C1435" s="2" t="s">
        <v>84</v>
      </c>
      <c r="D1435" s="2" t="s">
        <v>1105</v>
      </c>
      <c r="E1435" s="89"/>
      <c r="F1435" s="89"/>
    </row>
    <row r="1436" spans="1:6" x14ac:dyDescent="0.35">
      <c r="A1436" s="87">
        <v>45580</v>
      </c>
      <c r="B1436" s="2" t="s">
        <v>1357</v>
      </c>
      <c r="C1436" s="2" t="s">
        <v>84</v>
      </c>
      <c r="D1436" s="2" t="s">
        <v>1461</v>
      </c>
      <c r="E1436" s="89"/>
      <c r="F1436" s="89"/>
    </row>
    <row r="1437" spans="1:6" x14ac:dyDescent="0.35">
      <c r="A1437" s="87">
        <v>45580</v>
      </c>
      <c r="B1437" s="2" t="s">
        <v>1358</v>
      </c>
      <c r="C1437" s="2" t="s">
        <v>84</v>
      </c>
      <c r="D1437" s="2" t="s">
        <v>1577</v>
      </c>
      <c r="E1437" s="89"/>
      <c r="F1437" s="89"/>
    </row>
    <row r="1438" spans="1:6" x14ac:dyDescent="0.35">
      <c r="A1438" s="87">
        <v>45581</v>
      </c>
      <c r="B1438" s="2" t="s">
        <v>1359</v>
      </c>
      <c r="C1438" s="2" t="s">
        <v>84</v>
      </c>
      <c r="D1438" s="2" t="s">
        <v>1565</v>
      </c>
      <c r="E1438" s="89"/>
      <c r="F1438" s="89"/>
    </row>
    <row r="1439" spans="1:6" x14ac:dyDescent="0.35">
      <c r="A1439" s="87">
        <v>45582</v>
      </c>
      <c r="B1439" s="2" t="s">
        <v>1346</v>
      </c>
      <c r="C1439" s="2" t="s">
        <v>84</v>
      </c>
      <c r="D1439" s="2" t="s">
        <v>1461</v>
      </c>
      <c r="E1439" s="89"/>
      <c r="F1439" s="89"/>
    </row>
    <row r="1440" spans="1:6" x14ac:dyDescent="0.35">
      <c r="A1440" s="87">
        <v>45582</v>
      </c>
      <c r="B1440" s="2" t="s">
        <v>1360</v>
      </c>
      <c r="C1440" s="2" t="s">
        <v>84</v>
      </c>
      <c r="D1440" s="2" t="s">
        <v>1578</v>
      </c>
      <c r="E1440" s="89"/>
      <c r="F1440" s="89"/>
    </row>
    <row r="1441" spans="1:6" x14ac:dyDescent="0.35">
      <c r="A1441" s="87">
        <v>45582</v>
      </c>
      <c r="B1441" s="2" t="s">
        <v>683</v>
      </c>
      <c r="C1441" s="2" t="s">
        <v>84</v>
      </c>
      <c r="D1441" s="2" t="s">
        <v>1540</v>
      </c>
      <c r="E1441" s="89"/>
      <c r="F1441" s="89"/>
    </row>
    <row r="1442" spans="1:6" x14ac:dyDescent="0.35">
      <c r="A1442" s="87">
        <v>45583</v>
      </c>
      <c r="B1442" s="2" t="s">
        <v>1361</v>
      </c>
      <c r="C1442" s="2" t="s">
        <v>84</v>
      </c>
      <c r="D1442" s="2" t="s">
        <v>1579</v>
      </c>
      <c r="E1442" s="89"/>
      <c r="F1442" s="89"/>
    </row>
    <row r="1443" spans="1:6" x14ac:dyDescent="0.35">
      <c r="A1443" s="87">
        <v>45586</v>
      </c>
      <c r="B1443" s="2" t="s">
        <v>1362</v>
      </c>
      <c r="C1443" s="2" t="s">
        <v>84</v>
      </c>
      <c r="D1443" s="2" t="s">
        <v>1554</v>
      </c>
      <c r="E1443" s="89"/>
      <c r="F1443" s="89"/>
    </row>
    <row r="1444" spans="1:6" x14ac:dyDescent="0.35">
      <c r="A1444" s="87">
        <v>45586</v>
      </c>
      <c r="B1444" s="2" t="s">
        <v>1253</v>
      </c>
      <c r="C1444" s="2" t="s">
        <v>84</v>
      </c>
      <c r="D1444" s="2" t="s">
        <v>1058</v>
      </c>
      <c r="E1444" s="89"/>
      <c r="F1444" s="89"/>
    </row>
    <row r="1445" spans="1:6" x14ac:dyDescent="0.35">
      <c r="A1445" s="87">
        <v>45586</v>
      </c>
      <c r="B1445" s="2" t="s">
        <v>1254</v>
      </c>
      <c r="C1445" s="2" t="s">
        <v>84</v>
      </c>
      <c r="D1445" s="2" t="s">
        <v>1467</v>
      </c>
      <c r="E1445" s="89"/>
      <c r="F1445" s="89"/>
    </row>
    <row r="1446" spans="1:6" x14ac:dyDescent="0.35">
      <c r="A1446" s="87">
        <v>45588</v>
      </c>
      <c r="B1446" s="2" t="s">
        <v>1363</v>
      </c>
      <c r="C1446" s="2" t="s">
        <v>84</v>
      </c>
      <c r="D1446" s="2" t="s">
        <v>1580</v>
      </c>
      <c r="E1446" s="89"/>
      <c r="F1446" s="89"/>
    </row>
    <row r="1447" spans="1:6" x14ac:dyDescent="0.35">
      <c r="A1447" s="87">
        <v>45589</v>
      </c>
      <c r="B1447" s="2" t="s">
        <v>1364</v>
      </c>
      <c r="C1447" s="2" t="s">
        <v>84</v>
      </c>
      <c r="D1447" s="2" t="s">
        <v>1581</v>
      </c>
      <c r="E1447" s="89"/>
      <c r="F1447" s="89"/>
    </row>
    <row r="1448" spans="1:6" x14ac:dyDescent="0.35">
      <c r="A1448" s="87">
        <v>45589</v>
      </c>
      <c r="B1448" s="2" t="s">
        <v>1365</v>
      </c>
      <c r="C1448" s="2" t="s">
        <v>84</v>
      </c>
      <c r="D1448" s="2" t="s">
        <v>1582</v>
      </c>
      <c r="E1448" s="89"/>
      <c r="F1448" s="89"/>
    </row>
    <row r="1449" spans="1:6" x14ac:dyDescent="0.35">
      <c r="A1449" s="87">
        <v>45590</v>
      </c>
      <c r="B1449" s="2" t="s">
        <v>1366</v>
      </c>
      <c r="C1449" s="2" t="s">
        <v>84</v>
      </c>
      <c r="D1449" s="2" t="s">
        <v>1583</v>
      </c>
      <c r="E1449" s="89"/>
      <c r="F1449" s="89"/>
    </row>
    <row r="1450" spans="1:6" x14ac:dyDescent="0.35">
      <c r="A1450" s="87">
        <v>45593</v>
      </c>
      <c r="B1450" s="2" t="s">
        <v>1362</v>
      </c>
      <c r="C1450" s="2" t="s">
        <v>84</v>
      </c>
      <c r="D1450" s="2" t="s">
        <v>1554</v>
      </c>
      <c r="E1450" s="89"/>
      <c r="F1450" s="89"/>
    </row>
    <row r="1451" spans="1:6" x14ac:dyDescent="0.35">
      <c r="A1451" s="87">
        <v>45593</v>
      </c>
      <c r="B1451" s="2" t="s">
        <v>1367</v>
      </c>
      <c r="C1451" s="2" t="s">
        <v>84</v>
      </c>
      <c r="D1451" s="2" t="s">
        <v>1584</v>
      </c>
      <c r="E1451" s="89"/>
      <c r="F1451" s="89"/>
    </row>
    <row r="1452" spans="1:6" x14ac:dyDescent="0.35">
      <c r="A1452" s="87">
        <v>45600</v>
      </c>
      <c r="B1452" s="2" t="s">
        <v>1368</v>
      </c>
      <c r="C1452" s="2" t="s">
        <v>84</v>
      </c>
      <c r="D1452" s="2" t="s">
        <v>1585</v>
      </c>
      <c r="E1452" s="89"/>
      <c r="F1452" s="89"/>
    </row>
    <row r="1453" spans="1:6" x14ac:dyDescent="0.35">
      <c r="A1453" s="87">
        <v>45600</v>
      </c>
      <c r="B1453" s="2" t="s">
        <v>1254</v>
      </c>
      <c r="C1453" s="2" t="s">
        <v>84</v>
      </c>
      <c r="D1453" s="2" t="s">
        <v>1467</v>
      </c>
      <c r="E1453" s="89"/>
      <c r="F1453" s="89"/>
    </row>
    <row r="1454" spans="1:6" x14ac:dyDescent="0.35">
      <c r="A1454" s="87">
        <v>45600</v>
      </c>
      <c r="B1454" s="2" t="s">
        <v>1369</v>
      </c>
      <c r="C1454" s="2" t="s">
        <v>84</v>
      </c>
      <c r="D1454" s="2" t="s">
        <v>1519</v>
      </c>
      <c r="E1454" s="89"/>
      <c r="F1454" s="89"/>
    </row>
    <row r="1455" spans="1:6" x14ac:dyDescent="0.35">
      <c r="A1455" s="87">
        <v>45600</v>
      </c>
      <c r="B1455" s="2" t="s">
        <v>1156</v>
      </c>
      <c r="C1455" s="2" t="s">
        <v>84</v>
      </c>
      <c r="D1455" s="2" t="s">
        <v>1105</v>
      </c>
      <c r="E1455" s="89"/>
      <c r="F1455" s="89"/>
    </row>
    <row r="1456" spans="1:6" x14ac:dyDescent="0.35">
      <c r="A1456" s="87">
        <v>45601</v>
      </c>
      <c r="B1456" s="2" t="s">
        <v>1370</v>
      </c>
      <c r="C1456" s="2" t="s">
        <v>84</v>
      </c>
      <c r="D1456" s="2" t="s">
        <v>1058</v>
      </c>
      <c r="E1456" s="89"/>
      <c r="F1456" s="89"/>
    </row>
    <row r="1457" spans="1:6" x14ac:dyDescent="0.35">
      <c r="A1457" s="87">
        <v>45601</v>
      </c>
      <c r="B1457" s="2" t="s">
        <v>1371</v>
      </c>
      <c r="C1457" s="2" t="s">
        <v>84</v>
      </c>
      <c r="D1457" s="2" t="s">
        <v>1586</v>
      </c>
      <c r="E1457" s="89"/>
      <c r="F1457" s="89"/>
    </row>
    <row r="1458" spans="1:6" x14ac:dyDescent="0.35">
      <c r="A1458" s="87">
        <v>45601</v>
      </c>
      <c r="B1458" s="2" t="s">
        <v>1651</v>
      </c>
      <c r="C1458" s="2" t="s">
        <v>164</v>
      </c>
      <c r="D1458" s="2" t="s">
        <v>1661</v>
      </c>
      <c r="E1458" s="89">
        <v>4406.29</v>
      </c>
      <c r="F1458" s="89">
        <v>5287.5479999999998</v>
      </c>
    </row>
    <row r="1459" spans="1:6" x14ac:dyDescent="0.35">
      <c r="A1459" s="87">
        <v>45603</v>
      </c>
      <c r="B1459" s="2" t="s">
        <v>1232</v>
      </c>
      <c r="C1459" s="2" t="s">
        <v>84</v>
      </c>
      <c r="D1459" s="2" t="s">
        <v>1558</v>
      </c>
      <c r="E1459" s="89"/>
      <c r="F1459" s="89"/>
    </row>
    <row r="1460" spans="1:6" x14ac:dyDescent="0.35">
      <c r="A1460" s="87">
        <v>45603</v>
      </c>
      <c r="B1460" s="2" t="s">
        <v>966</v>
      </c>
      <c r="C1460" s="2" t="s">
        <v>84</v>
      </c>
      <c r="D1460" s="2" t="s">
        <v>600</v>
      </c>
      <c r="E1460" s="89"/>
      <c r="F1460" s="89"/>
    </row>
    <row r="1461" spans="1:6" x14ac:dyDescent="0.35">
      <c r="A1461" s="87">
        <v>45603</v>
      </c>
      <c r="B1461" s="2" t="s">
        <v>1631</v>
      </c>
      <c r="C1461" s="2" t="s">
        <v>594</v>
      </c>
      <c r="D1461" s="2" t="s">
        <v>1635</v>
      </c>
      <c r="E1461" s="89">
        <v>1800</v>
      </c>
      <c r="F1461" s="89">
        <v>2160</v>
      </c>
    </row>
    <row r="1462" spans="1:6" x14ac:dyDescent="0.35">
      <c r="A1462" s="87">
        <v>45604</v>
      </c>
      <c r="B1462" s="2" t="s">
        <v>1372</v>
      </c>
      <c r="C1462" s="2" t="s">
        <v>84</v>
      </c>
      <c r="D1462" s="2" t="s">
        <v>783</v>
      </c>
      <c r="E1462" s="89"/>
      <c r="F1462" s="89"/>
    </row>
    <row r="1463" spans="1:6" x14ac:dyDescent="0.35">
      <c r="A1463" s="87">
        <v>45604</v>
      </c>
      <c r="B1463" s="2" t="s">
        <v>1373</v>
      </c>
      <c r="C1463" s="2" t="s">
        <v>84</v>
      </c>
      <c r="D1463" s="2" t="s">
        <v>1109</v>
      </c>
      <c r="E1463" s="89"/>
      <c r="F1463" s="89"/>
    </row>
    <row r="1464" spans="1:6" x14ac:dyDescent="0.35">
      <c r="A1464" s="87">
        <v>45604</v>
      </c>
      <c r="B1464" s="2" t="s">
        <v>1374</v>
      </c>
      <c r="C1464" s="2" t="s">
        <v>84</v>
      </c>
      <c r="D1464" s="2" t="s">
        <v>1105</v>
      </c>
      <c r="E1464" s="89"/>
      <c r="F1464" s="89"/>
    </row>
    <row r="1465" spans="1:6" x14ac:dyDescent="0.35">
      <c r="A1465" s="87">
        <v>45607</v>
      </c>
      <c r="B1465" s="2" t="s">
        <v>1375</v>
      </c>
      <c r="C1465" s="2" t="s">
        <v>84</v>
      </c>
      <c r="D1465" s="2" t="s">
        <v>1587</v>
      </c>
      <c r="E1465" s="89"/>
      <c r="F1465" s="89"/>
    </row>
    <row r="1466" spans="1:6" x14ac:dyDescent="0.35">
      <c r="A1466" s="87">
        <v>45608</v>
      </c>
      <c r="B1466" s="2" t="s">
        <v>1155</v>
      </c>
      <c r="C1466" s="2" t="s">
        <v>84</v>
      </c>
      <c r="D1466" s="2" t="s">
        <v>1519</v>
      </c>
      <c r="E1466" s="89"/>
      <c r="F1466" s="89"/>
    </row>
    <row r="1467" spans="1:6" x14ac:dyDescent="0.35">
      <c r="A1467" s="87">
        <v>45608</v>
      </c>
      <c r="B1467" s="2" t="s">
        <v>1313</v>
      </c>
      <c r="C1467" s="2" t="s">
        <v>84</v>
      </c>
      <c r="D1467" s="2" t="s">
        <v>1565</v>
      </c>
      <c r="E1467" s="89"/>
      <c r="F1467" s="89"/>
    </row>
    <row r="1468" spans="1:6" x14ac:dyDescent="0.35">
      <c r="A1468" s="87">
        <v>45609</v>
      </c>
      <c r="B1468" s="2" t="s">
        <v>1376</v>
      </c>
      <c r="C1468" s="2" t="s">
        <v>84</v>
      </c>
      <c r="D1468" s="2" t="s">
        <v>1519</v>
      </c>
      <c r="E1468" s="89"/>
      <c r="F1468" s="89"/>
    </row>
    <row r="1469" spans="1:6" x14ac:dyDescent="0.35">
      <c r="A1469" s="87">
        <v>45609</v>
      </c>
      <c r="B1469" s="2" t="s">
        <v>1247</v>
      </c>
      <c r="C1469" s="2" t="s">
        <v>84</v>
      </c>
      <c r="D1469" s="2" t="s">
        <v>1467</v>
      </c>
      <c r="E1469" s="89"/>
      <c r="F1469" s="89"/>
    </row>
    <row r="1470" spans="1:6" x14ac:dyDescent="0.35">
      <c r="A1470" s="87">
        <v>45610</v>
      </c>
      <c r="B1470" s="2" t="s">
        <v>1377</v>
      </c>
      <c r="C1470" s="2" t="s">
        <v>84</v>
      </c>
      <c r="D1470" s="2" t="s">
        <v>1588</v>
      </c>
      <c r="E1470" s="89"/>
      <c r="F1470" s="89"/>
    </row>
    <row r="1471" spans="1:6" x14ac:dyDescent="0.35">
      <c r="A1471" s="87">
        <v>45611</v>
      </c>
      <c r="B1471" s="2" t="s">
        <v>1378</v>
      </c>
      <c r="C1471" s="2" t="s">
        <v>84</v>
      </c>
      <c r="D1471" s="2" t="s">
        <v>1589</v>
      </c>
      <c r="E1471" s="89"/>
      <c r="F1471" s="89"/>
    </row>
    <row r="1472" spans="1:6" x14ac:dyDescent="0.35">
      <c r="A1472" s="87">
        <v>45614</v>
      </c>
      <c r="B1472" s="2" t="s">
        <v>1379</v>
      </c>
      <c r="C1472" s="2" t="s">
        <v>84</v>
      </c>
      <c r="D1472" s="2" t="s">
        <v>1104</v>
      </c>
      <c r="E1472" s="89"/>
      <c r="F1472" s="89"/>
    </row>
    <row r="1473" spans="1:6" x14ac:dyDescent="0.35">
      <c r="A1473" s="87">
        <v>45614</v>
      </c>
      <c r="B1473" s="2" t="s">
        <v>1253</v>
      </c>
      <c r="C1473" s="2" t="s">
        <v>84</v>
      </c>
      <c r="D1473" s="2" t="s">
        <v>1058</v>
      </c>
      <c r="E1473" s="89"/>
      <c r="F1473" s="89"/>
    </row>
    <row r="1474" spans="1:6" x14ac:dyDescent="0.35">
      <c r="A1474" s="87">
        <v>45614</v>
      </c>
      <c r="B1474" s="2" t="s">
        <v>1380</v>
      </c>
      <c r="C1474" s="2" t="s">
        <v>84</v>
      </c>
      <c r="D1474" s="2" t="s">
        <v>1590</v>
      </c>
      <c r="E1474" s="89"/>
      <c r="F1474" s="89"/>
    </row>
    <row r="1475" spans="1:6" x14ac:dyDescent="0.35">
      <c r="A1475" s="87">
        <v>45614</v>
      </c>
      <c r="B1475" s="2" t="s">
        <v>859</v>
      </c>
      <c r="C1475" s="2" t="s">
        <v>84</v>
      </c>
      <c r="D1475" s="2" t="s">
        <v>1467</v>
      </c>
      <c r="E1475" s="89"/>
      <c r="F1475" s="89"/>
    </row>
    <row r="1476" spans="1:6" x14ac:dyDescent="0.35">
      <c r="A1476" s="87">
        <v>45614</v>
      </c>
      <c r="B1476" s="2" t="s">
        <v>1381</v>
      </c>
      <c r="C1476" s="2" t="s">
        <v>84</v>
      </c>
      <c r="D1476" s="2" t="s">
        <v>1099</v>
      </c>
      <c r="E1476" s="89"/>
      <c r="F1476" s="89"/>
    </row>
    <row r="1477" spans="1:6" x14ac:dyDescent="0.35">
      <c r="A1477" s="87">
        <v>45614</v>
      </c>
      <c r="B1477" s="2" t="s">
        <v>1382</v>
      </c>
      <c r="C1477" s="2" t="s">
        <v>84</v>
      </c>
      <c r="D1477" s="2" t="s">
        <v>1108</v>
      </c>
      <c r="E1477" s="89"/>
      <c r="F1477" s="89"/>
    </row>
    <row r="1478" spans="1:6" x14ac:dyDescent="0.35">
      <c r="A1478" s="87">
        <v>45614</v>
      </c>
      <c r="B1478" s="2" t="s">
        <v>1383</v>
      </c>
      <c r="C1478" s="2" t="s">
        <v>84</v>
      </c>
      <c r="D1478" s="2" t="s">
        <v>1469</v>
      </c>
      <c r="E1478" s="89"/>
      <c r="F1478" s="89"/>
    </row>
    <row r="1479" spans="1:6" x14ac:dyDescent="0.35">
      <c r="A1479" s="87">
        <v>45615</v>
      </c>
      <c r="B1479" s="2" t="s">
        <v>1384</v>
      </c>
      <c r="C1479" s="2" t="s">
        <v>84</v>
      </c>
      <c r="D1479" s="2" t="s">
        <v>1591</v>
      </c>
      <c r="E1479" s="89"/>
      <c r="F1479" s="89"/>
    </row>
    <row r="1480" spans="1:6" x14ac:dyDescent="0.35">
      <c r="A1480" s="87">
        <v>45615</v>
      </c>
      <c r="B1480" s="2" t="s">
        <v>1385</v>
      </c>
      <c r="C1480" s="2" t="s">
        <v>84</v>
      </c>
      <c r="D1480" s="2" t="s">
        <v>1469</v>
      </c>
      <c r="E1480" s="89"/>
      <c r="F1480" s="89"/>
    </row>
    <row r="1481" spans="1:6" x14ac:dyDescent="0.35">
      <c r="A1481" s="87">
        <v>45615</v>
      </c>
      <c r="B1481" s="2" t="s">
        <v>1386</v>
      </c>
      <c r="C1481" s="2" t="s">
        <v>84</v>
      </c>
      <c r="D1481" s="2" t="s">
        <v>1565</v>
      </c>
      <c r="E1481" s="89"/>
      <c r="F1481" s="89"/>
    </row>
    <row r="1482" spans="1:6" x14ac:dyDescent="0.35">
      <c r="A1482" s="87">
        <v>45615</v>
      </c>
      <c r="B1482" s="2" t="s">
        <v>1387</v>
      </c>
      <c r="C1482" s="2" t="s">
        <v>84</v>
      </c>
      <c r="D1482" s="2" t="s">
        <v>1592</v>
      </c>
      <c r="E1482" s="89"/>
      <c r="F1482" s="89"/>
    </row>
    <row r="1483" spans="1:6" x14ac:dyDescent="0.35">
      <c r="A1483" s="87">
        <v>45615</v>
      </c>
      <c r="B1483" s="2" t="s">
        <v>1652</v>
      </c>
      <c r="C1483" s="2" t="s">
        <v>164</v>
      </c>
      <c r="D1483" s="2" t="s">
        <v>1662</v>
      </c>
      <c r="E1483" s="89">
        <v>2470.86</v>
      </c>
      <c r="F1483" s="89">
        <v>2965.0320000000002</v>
      </c>
    </row>
    <row r="1484" spans="1:6" x14ac:dyDescent="0.35">
      <c r="A1484" s="87">
        <v>45616</v>
      </c>
      <c r="B1484" s="2" t="s">
        <v>1388</v>
      </c>
      <c r="C1484" s="2" t="s">
        <v>84</v>
      </c>
      <c r="D1484" s="2" t="s">
        <v>1593</v>
      </c>
      <c r="E1484" s="89"/>
      <c r="F1484" s="89"/>
    </row>
    <row r="1485" spans="1:6" x14ac:dyDescent="0.35">
      <c r="A1485" s="87">
        <v>45616</v>
      </c>
      <c r="B1485" s="2" t="s">
        <v>1389</v>
      </c>
      <c r="C1485" s="2" t="s">
        <v>84</v>
      </c>
      <c r="D1485" s="2" t="s">
        <v>1594</v>
      </c>
      <c r="E1485" s="89"/>
      <c r="F1485" s="89"/>
    </row>
    <row r="1486" spans="1:6" x14ac:dyDescent="0.35">
      <c r="A1486" s="87">
        <v>45617</v>
      </c>
      <c r="B1486" s="2" t="s">
        <v>1390</v>
      </c>
      <c r="C1486" s="2" t="s">
        <v>84</v>
      </c>
      <c r="D1486" s="2" t="s">
        <v>1540</v>
      </c>
      <c r="E1486" s="89"/>
      <c r="F1486" s="89"/>
    </row>
    <row r="1487" spans="1:6" x14ac:dyDescent="0.35">
      <c r="A1487" s="87">
        <v>45617</v>
      </c>
      <c r="B1487" s="2" t="s">
        <v>1391</v>
      </c>
      <c r="C1487" s="2" t="s">
        <v>84</v>
      </c>
      <c r="D1487" s="2" t="s">
        <v>1458</v>
      </c>
      <c r="E1487" s="89"/>
      <c r="F1487" s="89"/>
    </row>
    <row r="1488" spans="1:6" x14ac:dyDescent="0.35">
      <c r="A1488" s="87">
        <v>45618</v>
      </c>
      <c r="B1488" s="2" t="s">
        <v>1392</v>
      </c>
      <c r="C1488" s="2" t="s">
        <v>84</v>
      </c>
      <c r="D1488" s="2" t="s">
        <v>1095</v>
      </c>
      <c r="E1488" s="89"/>
      <c r="F1488" s="89"/>
    </row>
    <row r="1489" spans="1:6" x14ac:dyDescent="0.35">
      <c r="A1489" s="87">
        <v>45621</v>
      </c>
      <c r="B1489" s="2" t="s">
        <v>859</v>
      </c>
      <c r="C1489" s="2" t="s">
        <v>84</v>
      </c>
      <c r="D1489" s="2" t="s">
        <v>1467</v>
      </c>
      <c r="E1489" s="89"/>
      <c r="F1489" s="89"/>
    </row>
    <row r="1490" spans="1:6" x14ac:dyDescent="0.35">
      <c r="A1490" s="87">
        <v>45621</v>
      </c>
      <c r="B1490" s="2" t="s">
        <v>1393</v>
      </c>
      <c r="C1490" s="2" t="s">
        <v>84</v>
      </c>
      <c r="D1490" s="2" t="s">
        <v>1467</v>
      </c>
      <c r="E1490" s="89"/>
      <c r="F1490" s="89"/>
    </row>
    <row r="1491" spans="1:6" x14ac:dyDescent="0.35">
      <c r="A1491" s="87">
        <v>45621</v>
      </c>
      <c r="B1491" s="2" t="s">
        <v>1394</v>
      </c>
      <c r="C1491" s="2" t="s">
        <v>84</v>
      </c>
      <c r="D1491" s="2" t="s">
        <v>1467</v>
      </c>
      <c r="E1491" s="89"/>
      <c r="F1491" s="89"/>
    </row>
    <row r="1492" spans="1:6" x14ac:dyDescent="0.35">
      <c r="A1492" s="87">
        <v>45621</v>
      </c>
      <c r="B1492" s="2" t="s">
        <v>1395</v>
      </c>
      <c r="C1492" s="2" t="s">
        <v>84</v>
      </c>
      <c r="D1492" s="2" t="s">
        <v>1458</v>
      </c>
      <c r="E1492" s="89"/>
      <c r="F1492" s="89"/>
    </row>
    <row r="1493" spans="1:6" x14ac:dyDescent="0.35">
      <c r="A1493" s="87">
        <v>45621</v>
      </c>
      <c r="B1493" s="2" t="s">
        <v>1396</v>
      </c>
      <c r="C1493" s="2" t="s">
        <v>84</v>
      </c>
      <c r="D1493" s="2" t="s">
        <v>1595</v>
      </c>
      <c r="E1493" s="89"/>
      <c r="F1493" s="89"/>
    </row>
    <row r="1494" spans="1:6" x14ac:dyDescent="0.35">
      <c r="A1494" s="87">
        <v>45621</v>
      </c>
      <c r="B1494" s="2" t="s">
        <v>1199</v>
      </c>
      <c r="C1494" s="2" t="s">
        <v>84</v>
      </c>
      <c r="D1494" s="2" t="s">
        <v>1596</v>
      </c>
      <c r="E1494" s="89"/>
      <c r="F1494" s="89"/>
    </row>
    <row r="1495" spans="1:6" x14ac:dyDescent="0.35">
      <c r="A1495" s="87">
        <v>45622</v>
      </c>
      <c r="B1495" s="2" t="s">
        <v>1397</v>
      </c>
      <c r="C1495" s="2" t="s">
        <v>84</v>
      </c>
      <c r="D1495" s="2" t="s">
        <v>1597</v>
      </c>
      <c r="E1495" s="89"/>
      <c r="F1495" s="89"/>
    </row>
    <row r="1496" spans="1:6" x14ac:dyDescent="0.35">
      <c r="A1496" s="87">
        <v>45623</v>
      </c>
      <c r="B1496" s="2" t="s">
        <v>931</v>
      </c>
      <c r="C1496" s="2" t="s">
        <v>84</v>
      </c>
      <c r="D1496" s="2" t="s">
        <v>1519</v>
      </c>
      <c r="E1496" s="89"/>
      <c r="F1496" s="89"/>
    </row>
    <row r="1497" spans="1:6" x14ac:dyDescent="0.35">
      <c r="A1497" s="87">
        <v>45623</v>
      </c>
      <c r="B1497" s="2" t="s">
        <v>1398</v>
      </c>
      <c r="C1497" s="2" t="s">
        <v>84</v>
      </c>
      <c r="D1497" s="2" t="s">
        <v>1598</v>
      </c>
      <c r="E1497" s="89"/>
      <c r="F1497" s="89"/>
    </row>
    <row r="1498" spans="1:6" x14ac:dyDescent="0.35">
      <c r="A1498" s="87">
        <v>45623</v>
      </c>
      <c r="B1498" s="2" t="s">
        <v>1399</v>
      </c>
      <c r="C1498" s="2" t="s">
        <v>84</v>
      </c>
      <c r="D1498" s="2" t="s">
        <v>1599</v>
      </c>
      <c r="E1498" s="89"/>
      <c r="F1498" s="89"/>
    </row>
    <row r="1499" spans="1:6" x14ac:dyDescent="0.35">
      <c r="A1499" s="87">
        <v>45623</v>
      </c>
      <c r="B1499" s="2" t="s">
        <v>1653</v>
      </c>
      <c r="C1499" s="2" t="s">
        <v>164</v>
      </c>
      <c r="D1499" s="2" t="s">
        <v>1663</v>
      </c>
      <c r="E1499" s="89">
        <v>1083.33</v>
      </c>
      <c r="F1499" s="89">
        <v>1299.9959999999999</v>
      </c>
    </row>
    <row r="1500" spans="1:6" x14ac:dyDescent="0.35">
      <c r="A1500" s="87">
        <v>45624</v>
      </c>
      <c r="B1500" s="2" t="s">
        <v>1400</v>
      </c>
      <c r="C1500" s="2" t="s">
        <v>84</v>
      </c>
      <c r="D1500" s="2" t="s">
        <v>1600</v>
      </c>
      <c r="E1500" s="89"/>
      <c r="F1500" s="89"/>
    </row>
    <row r="1501" spans="1:6" x14ac:dyDescent="0.35">
      <c r="A1501" s="87">
        <v>45624</v>
      </c>
      <c r="B1501" s="2" t="s">
        <v>1632</v>
      </c>
      <c r="C1501" s="2" t="s">
        <v>594</v>
      </c>
      <c r="D1501" s="2" t="s">
        <v>597</v>
      </c>
      <c r="E1501" s="89">
        <v>1135.43</v>
      </c>
      <c r="F1501" s="89">
        <v>1362.5160000000001</v>
      </c>
    </row>
    <row r="1502" spans="1:6" x14ac:dyDescent="0.35">
      <c r="A1502" s="87">
        <v>45625</v>
      </c>
      <c r="B1502" s="2" t="s">
        <v>1401</v>
      </c>
      <c r="C1502" s="2" t="s">
        <v>84</v>
      </c>
      <c r="D1502" s="2" t="s">
        <v>1601</v>
      </c>
      <c r="E1502" s="89"/>
      <c r="F1502" s="89"/>
    </row>
    <row r="1503" spans="1:6" x14ac:dyDescent="0.35">
      <c r="A1503" s="87">
        <v>45625</v>
      </c>
      <c r="B1503" s="2" t="s">
        <v>1402</v>
      </c>
      <c r="C1503" s="2" t="s">
        <v>84</v>
      </c>
      <c r="D1503" s="2" t="s">
        <v>1476</v>
      </c>
      <c r="E1503" s="89"/>
      <c r="F1503" s="89"/>
    </row>
    <row r="1504" spans="1:6" x14ac:dyDescent="0.35">
      <c r="A1504" s="87">
        <v>45625</v>
      </c>
      <c r="B1504" s="2" t="s">
        <v>1403</v>
      </c>
      <c r="C1504" s="2" t="s">
        <v>84</v>
      </c>
      <c r="D1504" s="2" t="s">
        <v>789</v>
      </c>
      <c r="E1504" s="89"/>
      <c r="F1504" s="89"/>
    </row>
    <row r="1505" spans="1:6" x14ac:dyDescent="0.35">
      <c r="A1505" s="87">
        <v>45628</v>
      </c>
      <c r="B1505" s="2" t="s">
        <v>1354</v>
      </c>
      <c r="C1505" s="2" t="s">
        <v>84</v>
      </c>
      <c r="D1505" s="2" t="s">
        <v>1565</v>
      </c>
      <c r="E1505" s="89"/>
      <c r="F1505" s="89"/>
    </row>
    <row r="1506" spans="1:6" x14ac:dyDescent="0.35">
      <c r="A1506" s="87">
        <v>45628</v>
      </c>
      <c r="B1506" s="2" t="s">
        <v>1404</v>
      </c>
      <c r="C1506" s="2" t="s">
        <v>84</v>
      </c>
      <c r="D1506" s="2" t="s">
        <v>1602</v>
      </c>
      <c r="E1506" s="89"/>
      <c r="F1506" s="89"/>
    </row>
    <row r="1507" spans="1:6" x14ac:dyDescent="0.35">
      <c r="A1507" s="87">
        <v>45628</v>
      </c>
      <c r="B1507" s="2" t="s">
        <v>1405</v>
      </c>
      <c r="C1507" s="2" t="s">
        <v>84</v>
      </c>
      <c r="D1507" s="2" t="s">
        <v>1603</v>
      </c>
      <c r="E1507" s="89"/>
      <c r="F1507" s="89"/>
    </row>
    <row r="1508" spans="1:6" x14ac:dyDescent="0.35">
      <c r="A1508" s="87">
        <v>45628</v>
      </c>
      <c r="B1508" s="2" t="s">
        <v>859</v>
      </c>
      <c r="C1508" s="2" t="s">
        <v>84</v>
      </c>
      <c r="D1508" s="2" t="s">
        <v>1467</v>
      </c>
      <c r="E1508" s="89"/>
      <c r="F1508" s="89"/>
    </row>
    <row r="1509" spans="1:6" x14ac:dyDescent="0.35">
      <c r="A1509" s="87">
        <v>45628</v>
      </c>
      <c r="B1509" s="2" t="s">
        <v>1362</v>
      </c>
      <c r="C1509" s="2" t="s">
        <v>84</v>
      </c>
      <c r="D1509" s="2" t="s">
        <v>1565</v>
      </c>
      <c r="E1509" s="89"/>
      <c r="F1509" s="89"/>
    </row>
    <row r="1510" spans="1:6" x14ac:dyDescent="0.35">
      <c r="A1510" s="87">
        <v>45629</v>
      </c>
      <c r="B1510" s="2" t="s">
        <v>1406</v>
      </c>
      <c r="C1510" s="2" t="s">
        <v>84</v>
      </c>
      <c r="D1510" s="2" t="s">
        <v>1604</v>
      </c>
      <c r="E1510" s="89"/>
      <c r="F1510" s="89"/>
    </row>
    <row r="1511" spans="1:6" x14ac:dyDescent="0.35">
      <c r="A1511" s="87">
        <v>45629</v>
      </c>
      <c r="B1511" s="2" t="s">
        <v>1407</v>
      </c>
      <c r="C1511" s="2" t="s">
        <v>84</v>
      </c>
      <c r="D1511" s="2" t="s">
        <v>1605</v>
      </c>
      <c r="E1511" s="89"/>
      <c r="F1511" s="89"/>
    </row>
    <row r="1512" spans="1:6" x14ac:dyDescent="0.35">
      <c r="A1512" s="87">
        <v>45629</v>
      </c>
      <c r="B1512" s="2" t="s">
        <v>1654</v>
      </c>
      <c r="C1512" s="2" t="s">
        <v>164</v>
      </c>
      <c r="D1512" s="2" t="s">
        <v>1664</v>
      </c>
      <c r="E1512" s="89">
        <v>3270.86</v>
      </c>
      <c r="F1512" s="89">
        <v>3925.0320000000002</v>
      </c>
    </row>
    <row r="1513" spans="1:6" x14ac:dyDescent="0.35">
      <c r="A1513" s="87">
        <v>45630</v>
      </c>
      <c r="B1513" s="2" t="s">
        <v>1408</v>
      </c>
      <c r="C1513" s="2" t="s">
        <v>84</v>
      </c>
      <c r="D1513" s="2" t="s">
        <v>1606</v>
      </c>
      <c r="E1513" s="89"/>
      <c r="F1513" s="89"/>
    </row>
    <row r="1514" spans="1:6" x14ac:dyDescent="0.35">
      <c r="A1514" s="87">
        <v>45631</v>
      </c>
      <c r="B1514" s="2" t="s">
        <v>994</v>
      </c>
      <c r="C1514" s="2" t="s">
        <v>84</v>
      </c>
      <c r="D1514" s="2" t="s">
        <v>1606</v>
      </c>
      <c r="E1514" s="89"/>
      <c r="F1514" s="89"/>
    </row>
    <row r="1515" spans="1:6" x14ac:dyDescent="0.35">
      <c r="A1515" s="87">
        <v>45631</v>
      </c>
      <c r="B1515" s="2" t="s">
        <v>1409</v>
      </c>
      <c r="C1515" s="2" t="s">
        <v>84</v>
      </c>
      <c r="D1515" s="2" t="s">
        <v>1607</v>
      </c>
      <c r="E1515" s="89"/>
      <c r="F1515" s="89"/>
    </row>
    <row r="1516" spans="1:6" x14ac:dyDescent="0.35">
      <c r="A1516" s="87">
        <v>45631</v>
      </c>
      <c r="B1516" s="2" t="s">
        <v>1410</v>
      </c>
      <c r="C1516" s="2" t="s">
        <v>84</v>
      </c>
      <c r="D1516" s="2" t="s">
        <v>1496</v>
      </c>
      <c r="E1516" s="89"/>
      <c r="F1516" s="89"/>
    </row>
    <row r="1517" spans="1:6" x14ac:dyDescent="0.35">
      <c r="A1517" s="87">
        <v>45631</v>
      </c>
      <c r="B1517" s="2" t="s">
        <v>1411</v>
      </c>
      <c r="C1517" s="2" t="s">
        <v>84</v>
      </c>
      <c r="D1517" s="2" t="s">
        <v>1113</v>
      </c>
      <c r="E1517" s="89"/>
      <c r="F1517" s="89"/>
    </row>
    <row r="1518" spans="1:6" x14ac:dyDescent="0.35">
      <c r="A1518" s="87">
        <v>45631</v>
      </c>
      <c r="B1518" s="2" t="s">
        <v>1641</v>
      </c>
      <c r="C1518" s="2" t="s">
        <v>229</v>
      </c>
      <c r="D1518" s="2" t="s">
        <v>1645</v>
      </c>
      <c r="E1518" s="89">
        <v>1880</v>
      </c>
      <c r="F1518" s="89">
        <v>2256</v>
      </c>
    </row>
    <row r="1519" spans="1:6" x14ac:dyDescent="0.35">
      <c r="A1519" s="87">
        <v>45632</v>
      </c>
      <c r="B1519" s="2" t="s">
        <v>1412</v>
      </c>
      <c r="C1519" s="2" t="s">
        <v>84</v>
      </c>
      <c r="D1519" s="2" t="s">
        <v>772</v>
      </c>
      <c r="E1519" s="89"/>
      <c r="F1519" s="89"/>
    </row>
    <row r="1520" spans="1:6" x14ac:dyDescent="0.35">
      <c r="A1520" s="87">
        <v>45632</v>
      </c>
      <c r="B1520" s="2" t="s">
        <v>1413</v>
      </c>
      <c r="C1520" s="2" t="s">
        <v>84</v>
      </c>
      <c r="D1520" s="2" t="s">
        <v>1542</v>
      </c>
      <c r="E1520" s="89"/>
      <c r="F1520" s="89"/>
    </row>
    <row r="1521" spans="1:6" x14ac:dyDescent="0.35">
      <c r="A1521" s="87">
        <v>45632</v>
      </c>
      <c r="B1521" s="2" t="s">
        <v>1414</v>
      </c>
      <c r="C1521" s="2" t="s">
        <v>84</v>
      </c>
      <c r="D1521" s="2" t="s">
        <v>1558</v>
      </c>
      <c r="E1521" s="89"/>
      <c r="F1521" s="89"/>
    </row>
    <row r="1522" spans="1:6" x14ac:dyDescent="0.35">
      <c r="A1522" s="87">
        <v>45632</v>
      </c>
      <c r="B1522" s="2" t="s">
        <v>1415</v>
      </c>
      <c r="C1522" s="2" t="s">
        <v>84</v>
      </c>
      <c r="D1522" s="2" t="s">
        <v>1608</v>
      </c>
      <c r="E1522" s="89"/>
      <c r="F1522" s="89"/>
    </row>
    <row r="1523" spans="1:6" x14ac:dyDescent="0.35">
      <c r="A1523" s="87">
        <v>45635</v>
      </c>
      <c r="B1523" s="2" t="s">
        <v>1416</v>
      </c>
      <c r="C1523" s="2" t="s">
        <v>84</v>
      </c>
      <c r="D1523" s="2" t="s">
        <v>1609</v>
      </c>
      <c r="E1523" s="89"/>
      <c r="F1523" s="89"/>
    </row>
    <row r="1524" spans="1:6" x14ac:dyDescent="0.35">
      <c r="A1524" s="87">
        <v>45635</v>
      </c>
      <c r="B1524" s="2" t="s">
        <v>1417</v>
      </c>
      <c r="C1524" s="2" t="s">
        <v>84</v>
      </c>
      <c r="D1524" s="2" t="s">
        <v>1610</v>
      </c>
      <c r="E1524" s="89"/>
      <c r="F1524" s="89"/>
    </row>
    <row r="1525" spans="1:6" x14ac:dyDescent="0.35">
      <c r="A1525" s="87">
        <v>45635</v>
      </c>
      <c r="B1525" s="2" t="s">
        <v>859</v>
      </c>
      <c r="C1525" s="2" t="s">
        <v>84</v>
      </c>
      <c r="D1525" s="2" t="s">
        <v>1467</v>
      </c>
      <c r="E1525" s="89"/>
      <c r="F1525" s="89"/>
    </row>
    <row r="1526" spans="1:6" x14ac:dyDescent="0.35">
      <c r="A1526" s="87">
        <v>45635</v>
      </c>
      <c r="B1526" s="2" t="s">
        <v>884</v>
      </c>
      <c r="C1526" s="2" t="s">
        <v>84</v>
      </c>
      <c r="D1526" s="2" t="s">
        <v>1469</v>
      </c>
      <c r="E1526" s="89"/>
      <c r="F1526" s="89"/>
    </row>
    <row r="1527" spans="1:6" x14ac:dyDescent="0.35">
      <c r="A1527" s="87">
        <v>45636</v>
      </c>
      <c r="B1527" s="2" t="s">
        <v>1418</v>
      </c>
      <c r="C1527" s="2" t="s">
        <v>84</v>
      </c>
      <c r="D1527" s="2" t="s">
        <v>1067</v>
      </c>
      <c r="E1527" s="89"/>
      <c r="F1527" s="89"/>
    </row>
    <row r="1528" spans="1:6" x14ac:dyDescent="0.35">
      <c r="A1528" s="87">
        <v>45636</v>
      </c>
      <c r="B1528" s="2" t="s">
        <v>1419</v>
      </c>
      <c r="C1528" s="2" t="s">
        <v>84</v>
      </c>
      <c r="D1528" s="2" t="s">
        <v>1611</v>
      </c>
      <c r="E1528" s="89"/>
      <c r="F1528" s="89"/>
    </row>
    <row r="1529" spans="1:6" x14ac:dyDescent="0.35">
      <c r="A1529" s="87">
        <v>45636</v>
      </c>
      <c r="B1529" s="2" t="s">
        <v>1420</v>
      </c>
      <c r="C1529" s="2" t="s">
        <v>84</v>
      </c>
      <c r="D1529" s="2" t="s">
        <v>1612</v>
      </c>
      <c r="E1529" s="89"/>
      <c r="F1529" s="89"/>
    </row>
    <row r="1530" spans="1:6" x14ac:dyDescent="0.35">
      <c r="A1530" s="87">
        <v>45636</v>
      </c>
      <c r="B1530" s="2" t="s">
        <v>1220</v>
      </c>
      <c r="C1530" s="2" t="s">
        <v>84</v>
      </c>
      <c r="D1530" s="2" t="s">
        <v>1079</v>
      </c>
      <c r="E1530" s="89"/>
      <c r="F1530" s="89"/>
    </row>
    <row r="1531" spans="1:6" x14ac:dyDescent="0.35">
      <c r="A1531" s="87">
        <v>45637</v>
      </c>
      <c r="B1531" s="2" t="s">
        <v>1421</v>
      </c>
      <c r="C1531" s="2" t="s">
        <v>84</v>
      </c>
      <c r="D1531" s="2" t="s">
        <v>1099</v>
      </c>
      <c r="E1531" s="89"/>
      <c r="F1531" s="89"/>
    </row>
    <row r="1532" spans="1:6" x14ac:dyDescent="0.35">
      <c r="A1532" s="87">
        <v>45637</v>
      </c>
      <c r="B1532" s="2" t="s">
        <v>1422</v>
      </c>
      <c r="C1532" s="2" t="s">
        <v>84</v>
      </c>
      <c r="D1532" s="2" t="s">
        <v>600</v>
      </c>
      <c r="E1532" s="89"/>
      <c r="F1532" s="89"/>
    </row>
    <row r="1533" spans="1:6" x14ac:dyDescent="0.35">
      <c r="A1533" s="87">
        <v>45638</v>
      </c>
      <c r="B1533" s="2" t="s">
        <v>1423</v>
      </c>
      <c r="C1533" s="2" t="s">
        <v>84</v>
      </c>
      <c r="D1533" s="2" t="s">
        <v>1116</v>
      </c>
      <c r="E1533" s="89"/>
      <c r="F1533" s="89"/>
    </row>
    <row r="1534" spans="1:6" x14ac:dyDescent="0.35">
      <c r="A1534" s="87">
        <v>45638</v>
      </c>
      <c r="B1534" s="2" t="s">
        <v>1402</v>
      </c>
      <c r="C1534" s="2" t="s">
        <v>84</v>
      </c>
      <c r="D1534" s="2" t="s">
        <v>1558</v>
      </c>
      <c r="E1534" s="89"/>
      <c r="F1534" s="89"/>
    </row>
    <row r="1535" spans="1:6" x14ac:dyDescent="0.35">
      <c r="A1535" s="87">
        <v>45638</v>
      </c>
      <c r="B1535" s="2" t="s">
        <v>1424</v>
      </c>
      <c r="C1535" s="2" t="s">
        <v>84</v>
      </c>
      <c r="D1535" s="2" t="s">
        <v>1558</v>
      </c>
      <c r="E1535" s="89"/>
      <c r="F1535" s="89"/>
    </row>
    <row r="1536" spans="1:6" x14ac:dyDescent="0.35">
      <c r="A1536" s="87">
        <v>45638</v>
      </c>
      <c r="B1536" s="2" t="s">
        <v>1425</v>
      </c>
      <c r="C1536" s="2" t="s">
        <v>84</v>
      </c>
      <c r="D1536" s="2" t="s">
        <v>1613</v>
      </c>
      <c r="E1536" s="89"/>
      <c r="F1536" s="89"/>
    </row>
    <row r="1537" spans="1:6" x14ac:dyDescent="0.35">
      <c r="A1537" s="87">
        <v>45638</v>
      </c>
      <c r="B1537" s="2" t="s">
        <v>1426</v>
      </c>
      <c r="C1537" s="2" t="s">
        <v>84</v>
      </c>
      <c r="D1537" s="2" t="s">
        <v>1614</v>
      </c>
      <c r="E1537" s="89"/>
      <c r="F1537" s="89"/>
    </row>
    <row r="1538" spans="1:6" x14ac:dyDescent="0.35">
      <c r="A1538" s="87">
        <v>45638</v>
      </c>
      <c r="B1538" s="2" t="s">
        <v>1655</v>
      </c>
      <c r="C1538" s="2" t="s">
        <v>164</v>
      </c>
      <c r="D1538" s="2" t="s">
        <v>1665</v>
      </c>
      <c r="E1538" s="89">
        <v>4070.86</v>
      </c>
      <c r="F1538" s="89">
        <v>4885.0320000000002</v>
      </c>
    </row>
    <row r="1539" spans="1:6" x14ac:dyDescent="0.35">
      <c r="A1539" s="87">
        <v>45639</v>
      </c>
      <c r="B1539" s="2" t="s">
        <v>1427</v>
      </c>
      <c r="C1539" s="2" t="s">
        <v>84</v>
      </c>
      <c r="D1539" s="2" t="s">
        <v>1615</v>
      </c>
      <c r="E1539" s="89"/>
      <c r="F1539" s="89"/>
    </row>
    <row r="1540" spans="1:6" x14ac:dyDescent="0.35">
      <c r="A1540" s="87">
        <v>45639</v>
      </c>
      <c r="B1540" s="2" t="s">
        <v>1428</v>
      </c>
      <c r="C1540" s="2" t="s">
        <v>84</v>
      </c>
      <c r="D1540" s="2" t="s">
        <v>1616</v>
      </c>
      <c r="E1540" s="89"/>
      <c r="F1540" s="89"/>
    </row>
    <row r="1541" spans="1:6" x14ac:dyDescent="0.35">
      <c r="A1541" s="87">
        <v>45639</v>
      </c>
      <c r="B1541" s="2" t="s">
        <v>1429</v>
      </c>
      <c r="C1541" s="2" t="s">
        <v>84</v>
      </c>
      <c r="D1541" s="2" t="s">
        <v>1617</v>
      </c>
      <c r="E1541" s="89"/>
      <c r="F1541" s="89"/>
    </row>
    <row r="1542" spans="1:6" x14ac:dyDescent="0.35">
      <c r="A1542" s="87">
        <v>45639</v>
      </c>
      <c r="B1542" s="2" t="s">
        <v>1420</v>
      </c>
      <c r="C1542" s="2" t="s">
        <v>84</v>
      </c>
      <c r="D1542" s="2" t="s">
        <v>1612</v>
      </c>
      <c r="E1542" s="89"/>
      <c r="F1542" s="89"/>
    </row>
    <row r="1543" spans="1:6" x14ac:dyDescent="0.35">
      <c r="A1543" s="87">
        <v>45639</v>
      </c>
      <c r="B1543" s="2" t="s">
        <v>1430</v>
      </c>
      <c r="C1543" s="2" t="s">
        <v>84</v>
      </c>
      <c r="D1543" s="2" t="s">
        <v>1469</v>
      </c>
      <c r="E1543" s="89"/>
      <c r="F1543" s="89"/>
    </row>
    <row r="1544" spans="1:6" x14ac:dyDescent="0.35">
      <c r="A1544" s="87">
        <v>45639</v>
      </c>
      <c r="B1544" s="2" t="s">
        <v>1431</v>
      </c>
      <c r="C1544" s="2" t="s">
        <v>84</v>
      </c>
      <c r="D1544" s="2" t="s">
        <v>1609</v>
      </c>
      <c r="E1544" s="89"/>
      <c r="F1544" s="89"/>
    </row>
    <row r="1545" spans="1:6" x14ac:dyDescent="0.35">
      <c r="A1545" s="87">
        <v>45639</v>
      </c>
      <c r="B1545" s="2" t="s">
        <v>1432</v>
      </c>
      <c r="C1545" s="2" t="s">
        <v>84</v>
      </c>
      <c r="D1545" s="2" t="s">
        <v>1105</v>
      </c>
      <c r="E1545" s="89"/>
      <c r="F1545" s="89"/>
    </row>
    <row r="1546" spans="1:6" x14ac:dyDescent="0.35">
      <c r="A1546" s="87">
        <v>45642</v>
      </c>
      <c r="B1546" s="2" t="s">
        <v>1433</v>
      </c>
      <c r="C1546" s="2" t="s">
        <v>84</v>
      </c>
      <c r="D1546" s="2" t="s">
        <v>1618</v>
      </c>
      <c r="E1546" s="89"/>
      <c r="F1546" s="89"/>
    </row>
    <row r="1547" spans="1:6" x14ac:dyDescent="0.35">
      <c r="A1547" s="87">
        <v>45642</v>
      </c>
      <c r="B1547" s="2" t="s">
        <v>1434</v>
      </c>
      <c r="C1547" s="2" t="s">
        <v>84</v>
      </c>
      <c r="D1547" s="2" t="s">
        <v>1104</v>
      </c>
      <c r="E1547" s="89"/>
      <c r="F1547" s="89"/>
    </row>
    <row r="1548" spans="1:6" x14ac:dyDescent="0.35">
      <c r="A1548" s="87">
        <v>45642</v>
      </c>
      <c r="B1548" s="2" t="s">
        <v>859</v>
      </c>
      <c r="C1548" s="2" t="s">
        <v>84</v>
      </c>
      <c r="D1548" s="2" t="s">
        <v>1467</v>
      </c>
      <c r="E1548" s="89"/>
      <c r="F1548" s="89"/>
    </row>
    <row r="1549" spans="1:6" x14ac:dyDescent="0.35">
      <c r="A1549" s="87">
        <v>45642</v>
      </c>
      <c r="B1549" s="2" t="s">
        <v>1435</v>
      </c>
      <c r="C1549" s="2" t="s">
        <v>84</v>
      </c>
      <c r="D1549" s="2" t="s">
        <v>1619</v>
      </c>
      <c r="E1549" s="89"/>
      <c r="F1549" s="89"/>
    </row>
    <row r="1550" spans="1:6" x14ac:dyDescent="0.35">
      <c r="A1550" s="87">
        <v>45642</v>
      </c>
      <c r="B1550" s="2" t="s">
        <v>1436</v>
      </c>
      <c r="C1550" s="2" t="s">
        <v>84</v>
      </c>
      <c r="D1550" s="2" t="s">
        <v>1469</v>
      </c>
      <c r="E1550" s="89"/>
      <c r="F1550" s="89"/>
    </row>
    <row r="1551" spans="1:6" x14ac:dyDescent="0.35">
      <c r="A1551" s="87">
        <v>45643</v>
      </c>
      <c r="B1551" s="2" t="s">
        <v>1437</v>
      </c>
      <c r="C1551" s="2" t="s">
        <v>84</v>
      </c>
      <c r="D1551" s="2" t="s">
        <v>1620</v>
      </c>
      <c r="E1551" s="89"/>
      <c r="F1551" s="89"/>
    </row>
    <row r="1552" spans="1:6" x14ac:dyDescent="0.35">
      <c r="A1552" s="87">
        <v>45643</v>
      </c>
      <c r="B1552" s="2" t="s">
        <v>1438</v>
      </c>
      <c r="C1552" s="2" t="s">
        <v>84</v>
      </c>
      <c r="D1552" s="2" t="s">
        <v>1621</v>
      </c>
      <c r="E1552" s="89"/>
      <c r="F1552" s="89"/>
    </row>
    <row r="1553" spans="1:6" x14ac:dyDescent="0.35">
      <c r="A1553" s="88">
        <v>45644</v>
      </c>
      <c r="B1553" s="2" t="s">
        <v>1439</v>
      </c>
      <c r="C1553" s="2" t="s">
        <v>84</v>
      </c>
      <c r="D1553" s="2" t="s">
        <v>1527</v>
      </c>
      <c r="E1553" s="89"/>
      <c r="F1553" s="89"/>
    </row>
    <row r="1554" spans="1:6" x14ac:dyDescent="0.35">
      <c r="A1554" s="88">
        <v>45644</v>
      </c>
      <c r="B1554" s="2" t="s">
        <v>1440</v>
      </c>
      <c r="C1554" s="2" t="s">
        <v>84</v>
      </c>
      <c r="D1554" s="2" t="s">
        <v>1099</v>
      </c>
      <c r="E1554" s="89"/>
      <c r="F1554" s="89"/>
    </row>
    <row r="1555" spans="1:6" x14ac:dyDescent="0.35">
      <c r="A1555" s="88">
        <v>45644</v>
      </c>
      <c r="B1555" s="2" t="s">
        <v>1441</v>
      </c>
      <c r="C1555" s="2" t="s">
        <v>84</v>
      </c>
      <c r="D1555" s="2" t="s">
        <v>1614</v>
      </c>
      <c r="E1555" s="89"/>
      <c r="F1555" s="89"/>
    </row>
    <row r="1556" spans="1:6" x14ac:dyDescent="0.35">
      <c r="A1556" s="88">
        <v>45644</v>
      </c>
      <c r="B1556" s="2" t="s">
        <v>1442</v>
      </c>
      <c r="C1556" s="2" t="s">
        <v>84</v>
      </c>
      <c r="D1556" s="2" t="s">
        <v>1622</v>
      </c>
      <c r="E1556" s="89"/>
      <c r="F1556" s="89"/>
    </row>
    <row r="1557" spans="1:6" x14ac:dyDescent="0.35">
      <c r="A1557" s="88">
        <v>45645</v>
      </c>
      <c r="B1557" s="2" t="s">
        <v>1443</v>
      </c>
      <c r="C1557" s="2" t="s">
        <v>84</v>
      </c>
      <c r="D1557" s="2" t="s">
        <v>1561</v>
      </c>
      <c r="E1557" s="89"/>
      <c r="F1557" s="89"/>
    </row>
    <row r="1558" spans="1:6" x14ac:dyDescent="0.35">
      <c r="A1558" s="88">
        <v>45645</v>
      </c>
      <c r="B1558" s="2" t="s">
        <v>1444</v>
      </c>
      <c r="C1558" s="2" t="s">
        <v>84</v>
      </c>
      <c r="D1558" s="2" t="s">
        <v>1099</v>
      </c>
      <c r="E1558" s="89"/>
      <c r="F1558" s="89"/>
    </row>
    <row r="1559" spans="1:6" x14ac:dyDescent="0.35">
      <c r="A1559" s="88">
        <v>45645</v>
      </c>
      <c r="B1559" s="2" t="s">
        <v>1445</v>
      </c>
      <c r="C1559" s="2" t="s">
        <v>84</v>
      </c>
      <c r="D1559" s="2" t="s">
        <v>1623</v>
      </c>
      <c r="E1559" s="89"/>
      <c r="F1559" s="89"/>
    </row>
    <row r="1560" spans="1:6" x14ac:dyDescent="0.35">
      <c r="A1560" s="88">
        <v>45646</v>
      </c>
      <c r="B1560" s="2" t="s">
        <v>1446</v>
      </c>
      <c r="C1560" s="2" t="s">
        <v>84</v>
      </c>
      <c r="D1560" s="2" t="s">
        <v>1090</v>
      </c>
      <c r="E1560" s="89"/>
      <c r="F1560" s="89"/>
    </row>
    <row r="1561" spans="1:6" x14ac:dyDescent="0.35">
      <c r="A1561" s="88">
        <v>45646</v>
      </c>
      <c r="B1561" s="2" t="s">
        <v>1447</v>
      </c>
      <c r="C1561" s="2" t="s">
        <v>84</v>
      </c>
      <c r="D1561" s="2" t="s">
        <v>1458</v>
      </c>
      <c r="E1561" s="89"/>
      <c r="F1561" s="89"/>
    </row>
    <row r="1562" spans="1:6" x14ac:dyDescent="0.35">
      <c r="A1562" s="88">
        <v>45646</v>
      </c>
      <c r="B1562" s="2" t="s">
        <v>1324</v>
      </c>
      <c r="C1562" s="2" t="s">
        <v>84</v>
      </c>
      <c r="D1562" s="2" t="s">
        <v>1469</v>
      </c>
      <c r="E1562" s="89"/>
      <c r="F1562" s="89"/>
    </row>
    <row r="1563" spans="1:6" x14ac:dyDescent="0.35">
      <c r="A1563" s="88">
        <v>45646</v>
      </c>
      <c r="B1563" s="2" t="s">
        <v>1448</v>
      </c>
      <c r="C1563" s="2" t="s">
        <v>84</v>
      </c>
      <c r="D1563" s="2" t="s">
        <v>1624</v>
      </c>
      <c r="E1563" s="89"/>
      <c r="F1563" s="89"/>
    </row>
    <row r="1564" spans="1:6" x14ac:dyDescent="0.35">
      <c r="A1564" s="88">
        <v>45646</v>
      </c>
      <c r="B1564" s="2" t="s">
        <v>1449</v>
      </c>
      <c r="C1564" s="2" t="s">
        <v>84</v>
      </c>
      <c r="D1564" s="2" t="s">
        <v>1625</v>
      </c>
      <c r="E1564" s="89"/>
      <c r="F1564" s="89"/>
    </row>
    <row r="1565" spans="1:6" x14ac:dyDescent="0.35">
      <c r="A1565" s="88">
        <v>45663</v>
      </c>
      <c r="B1565" s="2" t="s">
        <v>1254</v>
      </c>
      <c r="C1565" s="36" t="s">
        <v>84</v>
      </c>
      <c r="D1565" s="17" t="s">
        <v>2027</v>
      </c>
      <c r="E1565" s="45"/>
      <c r="F1565" s="44"/>
    </row>
    <row r="1566" spans="1:6" x14ac:dyDescent="0.35">
      <c r="A1566" s="88">
        <v>45663</v>
      </c>
      <c r="B1566" s="2" t="s">
        <v>1667</v>
      </c>
      <c r="C1566" s="36" t="s">
        <v>84</v>
      </c>
      <c r="D1566" s="17" t="s">
        <v>1567</v>
      </c>
      <c r="E1566" s="45"/>
      <c r="F1566" s="44"/>
    </row>
    <row r="1567" spans="1:6" x14ac:dyDescent="0.35">
      <c r="A1567" s="88">
        <v>45663</v>
      </c>
      <c r="B1567" s="2" t="s">
        <v>1668</v>
      </c>
      <c r="C1567" s="36" t="s">
        <v>84</v>
      </c>
      <c r="D1567" s="17" t="s">
        <v>1609</v>
      </c>
      <c r="E1567" s="45"/>
      <c r="F1567" s="44"/>
    </row>
    <row r="1568" spans="1:6" x14ac:dyDescent="0.35">
      <c r="A1568" s="88">
        <v>45665</v>
      </c>
      <c r="B1568" s="2" t="s">
        <v>1669</v>
      </c>
      <c r="C1568" s="36" t="s">
        <v>84</v>
      </c>
      <c r="D1568" s="17" t="s">
        <v>762</v>
      </c>
      <c r="E1568" s="45"/>
      <c r="F1568" s="44"/>
    </row>
    <row r="1569" spans="1:6" x14ac:dyDescent="0.35">
      <c r="A1569" s="88">
        <v>45666</v>
      </c>
      <c r="B1569" s="2" t="s">
        <v>1670</v>
      </c>
      <c r="C1569" s="36" t="s">
        <v>84</v>
      </c>
      <c r="D1569" s="17" t="s">
        <v>1105</v>
      </c>
      <c r="E1569" s="45"/>
      <c r="F1569" s="44"/>
    </row>
    <row r="1570" spans="1:6" x14ac:dyDescent="0.35">
      <c r="A1570" s="88">
        <v>45667</v>
      </c>
      <c r="B1570" s="2" t="s">
        <v>1671</v>
      </c>
      <c r="C1570" s="36" t="s">
        <v>84</v>
      </c>
      <c r="D1570" s="17" t="s">
        <v>1469</v>
      </c>
      <c r="E1570" s="45"/>
      <c r="F1570" s="44"/>
    </row>
    <row r="1571" spans="1:6" x14ac:dyDescent="0.35">
      <c r="A1571" s="88">
        <v>45667</v>
      </c>
      <c r="B1571" s="2" t="s">
        <v>1672</v>
      </c>
      <c r="C1571" s="36" t="s">
        <v>84</v>
      </c>
      <c r="D1571" s="17" t="s">
        <v>2028</v>
      </c>
      <c r="E1571" s="45">
        <v>135.43</v>
      </c>
      <c r="F1571" s="44">
        <v>162.51599999999999</v>
      </c>
    </row>
    <row r="1572" spans="1:6" x14ac:dyDescent="0.35">
      <c r="A1572" s="88">
        <v>45667</v>
      </c>
      <c r="B1572" s="2" t="s">
        <v>1673</v>
      </c>
      <c r="C1572" s="36" t="s">
        <v>84</v>
      </c>
      <c r="D1572" s="17" t="s">
        <v>2029</v>
      </c>
      <c r="E1572" s="45">
        <v>237.6</v>
      </c>
      <c r="F1572" s="44">
        <v>285.12</v>
      </c>
    </row>
    <row r="1573" spans="1:6" x14ac:dyDescent="0.35">
      <c r="A1573" s="88">
        <v>45670</v>
      </c>
      <c r="B1573" s="2" t="s">
        <v>1674</v>
      </c>
      <c r="C1573" s="36" t="s">
        <v>84</v>
      </c>
      <c r="D1573" s="17" t="s">
        <v>1609</v>
      </c>
      <c r="E1573" s="45"/>
      <c r="F1573" s="44"/>
    </row>
    <row r="1574" spans="1:6" x14ac:dyDescent="0.35">
      <c r="A1574" s="88">
        <v>45670</v>
      </c>
      <c r="B1574" s="2" t="s">
        <v>1200</v>
      </c>
      <c r="C1574" s="36" t="s">
        <v>84</v>
      </c>
      <c r="D1574" s="17" t="s">
        <v>1469</v>
      </c>
      <c r="E1574" s="45"/>
      <c r="F1574" s="44"/>
    </row>
    <row r="1575" spans="1:6" x14ac:dyDescent="0.35">
      <c r="A1575" s="88">
        <v>45670</v>
      </c>
      <c r="B1575" s="2" t="s">
        <v>1254</v>
      </c>
      <c r="C1575" s="36" t="s">
        <v>84</v>
      </c>
      <c r="D1575" s="17" t="s">
        <v>2027</v>
      </c>
      <c r="E1575" s="45"/>
      <c r="F1575" s="44"/>
    </row>
    <row r="1576" spans="1:6" x14ac:dyDescent="0.35">
      <c r="A1576" s="88">
        <v>45670</v>
      </c>
      <c r="B1576" s="2" t="s">
        <v>1675</v>
      </c>
      <c r="C1576" s="36" t="s">
        <v>84</v>
      </c>
      <c r="D1576" s="17" t="s">
        <v>1567</v>
      </c>
      <c r="E1576" s="45"/>
      <c r="F1576" s="44"/>
    </row>
    <row r="1577" spans="1:6" x14ac:dyDescent="0.35">
      <c r="A1577" s="88">
        <v>45670</v>
      </c>
      <c r="B1577" s="2" t="s">
        <v>1668</v>
      </c>
      <c r="C1577" s="36" t="s">
        <v>84</v>
      </c>
      <c r="D1577" s="17" t="s">
        <v>1609</v>
      </c>
      <c r="E1577" s="45"/>
      <c r="F1577" s="44"/>
    </row>
    <row r="1578" spans="1:6" x14ac:dyDescent="0.35">
      <c r="A1578" s="88">
        <v>45671</v>
      </c>
      <c r="B1578" s="2" t="s">
        <v>1676</v>
      </c>
      <c r="C1578" s="36" t="s">
        <v>84</v>
      </c>
      <c r="D1578" s="17" t="s">
        <v>2030</v>
      </c>
      <c r="E1578" s="45"/>
      <c r="F1578" s="44"/>
    </row>
    <row r="1579" spans="1:6" x14ac:dyDescent="0.35">
      <c r="A1579" s="88">
        <v>45673</v>
      </c>
      <c r="B1579" s="2" t="s">
        <v>1677</v>
      </c>
      <c r="C1579" s="36" t="s">
        <v>84</v>
      </c>
      <c r="D1579" s="17" t="s">
        <v>600</v>
      </c>
      <c r="E1579" s="45"/>
      <c r="F1579" s="44"/>
    </row>
    <row r="1580" spans="1:6" x14ac:dyDescent="0.35">
      <c r="A1580" s="88">
        <v>45673</v>
      </c>
      <c r="B1580" s="2" t="s">
        <v>1678</v>
      </c>
      <c r="C1580" s="36" t="s">
        <v>84</v>
      </c>
      <c r="D1580" s="17" t="s">
        <v>1565</v>
      </c>
      <c r="E1580" s="45"/>
      <c r="F1580" s="44"/>
    </row>
    <row r="1581" spans="1:6" x14ac:dyDescent="0.35">
      <c r="A1581" s="88">
        <v>45673</v>
      </c>
      <c r="B1581" s="2" t="s">
        <v>1679</v>
      </c>
      <c r="C1581" s="36" t="s">
        <v>84</v>
      </c>
      <c r="D1581" s="17" t="s">
        <v>2031</v>
      </c>
      <c r="E1581" s="45"/>
      <c r="F1581" s="44"/>
    </row>
    <row r="1582" spans="1:6" x14ac:dyDescent="0.35">
      <c r="A1582" s="88">
        <v>45673</v>
      </c>
      <c r="B1582" s="2" t="s">
        <v>1680</v>
      </c>
      <c r="C1582" s="36" t="s">
        <v>84</v>
      </c>
      <c r="D1582" s="17" t="s">
        <v>2031</v>
      </c>
      <c r="E1582" s="45"/>
      <c r="F1582" s="44"/>
    </row>
    <row r="1583" spans="1:6" x14ac:dyDescent="0.35">
      <c r="A1583" s="88">
        <v>45673</v>
      </c>
      <c r="B1583" s="2" t="s">
        <v>1681</v>
      </c>
      <c r="C1583" s="36" t="s">
        <v>84</v>
      </c>
      <c r="D1583" s="17" t="s">
        <v>2032</v>
      </c>
      <c r="E1583" s="45"/>
      <c r="F1583" s="44"/>
    </row>
    <row r="1584" spans="1:6" x14ac:dyDescent="0.35">
      <c r="A1584" s="88">
        <v>45673</v>
      </c>
      <c r="B1584" s="2" t="s">
        <v>1670</v>
      </c>
      <c r="C1584" s="36" t="s">
        <v>84</v>
      </c>
      <c r="D1584" s="17" t="s">
        <v>1105</v>
      </c>
      <c r="E1584" s="45"/>
      <c r="F1584" s="44"/>
    </row>
    <row r="1585" spans="1:6" x14ac:dyDescent="0.35">
      <c r="A1585" s="88">
        <v>45673</v>
      </c>
      <c r="B1585" s="2" t="s">
        <v>1682</v>
      </c>
      <c r="C1585" s="36" t="s">
        <v>84</v>
      </c>
      <c r="D1585" s="17" t="s">
        <v>2033</v>
      </c>
      <c r="E1585" s="45"/>
      <c r="F1585" s="44"/>
    </row>
    <row r="1586" spans="1:6" x14ac:dyDescent="0.35">
      <c r="A1586" s="88">
        <v>45674</v>
      </c>
      <c r="B1586" s="2" t="s">
        <v>1683</v>
      </c>
      <c r="C1586" s="36" t="s">
        <v>84</v>
      </c>
      <c r="D1586" s="17" t="s">
        <v>1471</v>
      </c>
      <c r="E1586" s="45"/>
      <c r="F1586" s="44"/>
    </row>
    <row r="1587" spans="1:6" x14ac:dyDescent="0.35">
      <c r="A1587" s="88">
        <v>45674</v>
      </c>
      <c r="B1587" s="2" t="s">
        <v>1684</v>
      </c>
      <c r="C1587" s="36" t="s">
        <v>84</v>
      </c>
      <c r="D1587" s="17" t="s">
        <v>1087</v>
      </c>
      <c r="E1587" s="45"/>
      <c r="F1587" s="44"/>
    </row>
    <row r="1588" spans="1:6" x14ac:dyDescent="0.35">
      <c r="A1588" s="88">
        <v>45677</v>
      </c>
      <c r="B1588" s="2" t="s">
        <v>1254</v>
      </c>
      <c r="C1588" s="36" t="s">
        <v>84</v>
      </c>
      <c r="D1588" s="17" t="s">
        <v>2027</v>
      </c>
      <c r="E1588" s="45"/>
      <c r="F1588" s="44"/>
    </row>
    <row r="1589" spans="1:6" x14ac:dyDescent="0.35">
      <c r="A1589" s="88">
        <v>45677</v>
      </c>
      <c r="B1589" s="2" t="s">
        <v>1681</v>
      </c>
      <c r="C1589" s="36" t="s">
        <v>84</v>
      </c>
      <c r="D1589" s="17" t="s">
        <v>1554</v>
      </c>
      <c r="E1589" s="45"/>
      <c r="F1589" s="44"/>
    </row>
    <row r="1590" spans="1:6" x14ac:dyDescent="0.35">
      <c r="A1590" s="88">
        <v>45677</v>
      </c>
      <c r="B1590" s="2" t="s">
        <v>1668</v>
      </c>
      <c r="C1590" s="36" t="s">
        <v>84</v>
      </c>
      <c r="D1590" s="17" t="s">
        <v>1609</v>
      </c>
      <c r="E1590" s="45"/>
      <c r="F1590" s="44"/>
    </row>
    <row r="1591" spans="1:6" x14ac:dyDescent="0.35">
      <c r="A1591" s="88">
        <v>45677</v>
      </c>
      <c r="B1591" s="2" t="s">
        <v>1685</v>
      </c>
      <c r="C1591" s="36" t="s">
        <v>84</v>
      </c>
      <c r="D1591" s="17" t="s">
        <v>1567</v>
      </c>
      <c r="E1591" s="45"/>
      <c r="F1591" s="44"/>
    </row>
    <row r="1592" spans="1:6" x14ac:dyDescent="0.35">
      <c r="A1592" s="88">
        <v>45678</v>
      </c>
      <c r="B1592" s="2" t="s">
        <v>1686</v>
      </c>
      <c r="C1592" s="36" t="s">
        <v>84</v>
      </c>
      <c r="D1592" s="17" t="s">
        <v>1471</v>
      </c>
      <c r="E1592" s="45"/>
      <c r="F1592" s="44"/>
    </row>
    <row r="1593" spans="1:6" x14ac:dyDescent="0.35">
      <c r="A1593" s="88">
        <v>45678</v>
      </c>
      <c r="B1593" s="2" t="s">
        <v>1687</v>
      </c>
      <c r="C1593" s="36" t="s">
        <v>84</v>
      </c>
      <c r="D1593" s="17" t="s">
        <v>2034</v>
      </c>
      <c r="E1593" s="45">
        <v>0</v>
      </c>
      <c r="F1593" s="44">
        <v>0</v>
      </c>
    </row>
    <row r="1594" spans="1:6" x14ac:dyDescent="0.35">
      <c r="A1594" s="88">
        <v>45679</v>
      </c>
      <c r="B1594" s="2" t="s">
        <v>1688</v>
      </c>
      <c r="C1594" s="36" t="s">
        <v>84</v>
      </c>
      <c r="D1594" s="17" t="s">
        <v>2035</v>
      </c>
      <c r="E1594" s="45"/>
      <c r="F1594" s="44"/>
    </row>
    <row r="1595" spans="1:6" x14ac:dyDescent="0.35">
      <c r="A1595" s="88">
        <v>45679</v>
      </c>
      <c r="B1595" s="2" t="s">
        <v>1689</v>
      </c>
      <c r="C1595" s="36" t="s">
        <v>84</v>
      </c>
      <c r="D1595" s="17" t="s">
        <v>1461</v>
      </c>
      <c r="E1595" s="45"/>
      <c r="F1595" s="44"/>
    </row>
    <row r="1596" spans="1:6" x14ac:dyDescent="0.35">
      <c r="A1596" s="88">
        <v>45679</v>
      </c>
      <c r="B1596" s="2" t="s">
        <v>1690</v>
      </c>
      <c r="C1596" s="36" t="s">
        <v>84</v>
      </c>
      <c r="D1596" s="17" t="s">
        <v>2036</v>
      </c>
      <c r="E1596" s="45"/>
      <c r="F1596" s="44"/>
    </row>
    <row r="1597" spans="1:6" x14ac:dyDescent="0.35">
      <c r="A1597" s="88">
        <v>45680</v>
      </c>
      <c r="B1597" s="2" t="s">
        <v>1691</v>
      </c>
      <c r="C1597" s="36" t="s">
        <v>84</v>
      </c>
      <c r="D1597" s="17" t="s">
        <v>2033</v>
      </c>
      <c r="E1597" s="45"/>
      <c r="F1597" s="44"/>
    </row>
    <row r="1598" spans="1:6" x14ac:dyDescent="0.35">
      <c r="A1598" s="88">
        <v>45680</v>
      </c>
      <c r="B1598" s="2" t="s">
        <v>1681</v>
      </c>
      <c r="C1598" s="36" t="s">
        <v>84</v>
      </c>
      <c r="D1598" s="17" t="s">
        <v>1565</v>
      </c>
      <c r="E1598" s="45"/>
      <c r="F1598" s="44"/>
    </row>
    <row r="1599" spans="1:6" x14ac:dyDescent="0.35">
      <c r="A1599" s="88">
        <v>45680</v>
      </c>
      <c r="B1599" s="2" t="s">
        <v>1670</v>
      </c>
      <c r="C1599" s="36" t="s">
        <v>84</v>
      </c>
      <c r="D1599" s="17" t="s">
        <v>1105</v>
      </c>
      <c r="E1599" s="45"/>
      <c r="F1599" s="44"/>
    </row>
    <row r="1600" spans="1:6" x14ac:dyDescent="0.35">
      <c r="A1600" s="88">
        <v>45680</v>
      </c>
      <c r="B1600" s="2" t="s">
        <v>1692</v>
      </c>
      <c r="C1600" s="36" t="s">
        <v>84</v>
      </c>
      <c r="D1600" s="17" t="s">
        <v>2035</v>
      </c>
      <c r="E1600" s="45"/>
      <c r="F1600" s="44"/>
    </row>
    <row r="1601" spans="1:6" x14ac:dyDescent="0.35">
      <c r="A1601" s="88">
        <v>45681</v>
      </c>
      <c r="B1601" s="2" t="s">
        <v>1693</v>
      </c>
      <c r="C1601" s="36" t="s">
        <v>84</v>
      </c>
      <c r="D1601" s="17" t="s">
        <v>2037</v>
      </c>
      <c r="E1601" s="45">
        <v>270.86</v>
      </c>
      <c r="F1601" s="44">
        <v>325.03199999999998</v>
      </c>
    </row>
    <row r="1602" spans="1:6" x14ac:dyDescent="0.35">
      <c r="A1602" s="88">
        <v>45684</v>
      </c>
      <c r="B1602" s="2" t="s">
        <v>1200</v>
      </c>
      <c r="C1602" s="36" t="s">
        <v>84</v>
      </c>
      <c r="D1602" s="17" t="s">
        <v>1469</v>
      </c>
      <c r="E1602" s="45"/>
      <c r="F1602" s="44"/>
    </row>
    <row r="1603" spans="1:6" x14ac:dyDescent="0.35">
      <c r="A1603" s="88">
        <v>45684</v>
      </c>
      <c r="B1603" s="2" t="s">
        <v>1694</v>
      </c>
      <c r="C1603" s="36" t="s">
        <v>84</v>
      </c>
      <c r="D1603" s="17" t="s">
        <v>1466</v>
      </c>
      <c r="E1603" s="45">
        <v>270.86</v>
      </c>
      <c r="F1603" s="44">
        <v>325.03199999999998</v>
      </c>
    </row>
    <row r="1604" spans="1:6" x14ac:dyDescent="0.35">
      <c r="A1604" s="88">
        <v>45684</v>
      </c>
      <c r="B1604" s="2" t="s">
        <v>1695</v>
      </c>
      <c r="C1604" s="36" t="s">
        <v>84</v>
      </c>
      <c r="D1604" s="17" t="s">
        <v>2038</v>
      </c>
      <c r="E1604" s="45"/>
      <c r="F1604" s="44"/>
    </row>
    <row r="1605" spans="1:6" x14ac:dyDescent="0.35">
      <c r="A1605" s="88">
        <v>45684</v>
      </c>
      <c r="B1605" s="2" t="s">
        <v>1681</v>
      </c>
      <c r="C1605" s="36" t="s">
        <v>84</v>
      </c>
      <c r="D1605" s="17" t="s">
        <v>2033</v>
      </c>
      <c r="E1605" s="45"/>
      <c r="F1605" s="44"/>
    </row>
    <row r="1606" spans="1:6" x14ac:dyDescent="0.35">
      <c r="A1606" s="88">
        <v>45684</v>
      </c>
      <c r="B1606" s="2" t="s">
        <v>1696</v>
      </c>
      <c r="C1606" s="36" t="s">
        <v>84</v>
      </c>
      <c r="D1606" s="17" t="s">
        <v>2039</v>
      </c>
      <c r="E1606" s="45"/>
      <c r="F1606" s="44"/>
    </row>
    <row r="1607" spans="1:6" x14ac:dyDescent="0.35">
      <c r="A1607" s="88">
        <v>45686</v>
      </c>
      <c r="B1607" s="2" t="s">
        <v>1697</v>
      </c>
      <c r="C1607" s="36" t="s">
        <v>84</v>
      </c>
      <c r="D1607" s="17" t="s">
        <v>2035</v>
      </c>
      <c r="E1607" s="45"/>
      <c r="F1607" s="44"/>
    </row>
    <row r="1608" spans="1:6" x14ac:dyDescent="0.35">
      <c r="A1608" s="88">
        <v>45686</v>
      </c>
      <c r="B1608" s="2" t="s">
        <v>1698</v>
      </c>
      <c r="C1608" s="36" t="s">
        <v>84</v>
      </c>
      <c r="D1608" s="17" t="s">
        <v>1099</v>
      </c>
      <c r="E1608" s="45"/>
      <c r="F1608" s="44"/>
    </row>
    <row r="1609" spans="1:6" x14ac:dyDescent="0.35">
      <c r="A1609" s="88">
        <v>45686</v>
      </c>
      <c r="B1609" s="2" t="s">
        <v>1699</v>
      </c>
      <c r="C1609" s="36" t="s">
        <v>84</v>
      </c>
      <c r="D1609" s="17" t="s">
        <v>2040</v>
      </c>
      <c r="E1609" s="45"/>
      <c r="F1609" s="44"/>
    </row>
    <row r="1610" spans="1:6" x14ac:dyDescent="0.35">
      <c r="A1610" s="88">
        <v>45687</v>
      </c>
      <c r="B1610" s="2" t="s">
        <v>1700</v>
      </c>
      <c r="C1610" s="36" t="s">
        <v>84</v>
      </c>
      <c r="D1610" s="17" t="s">
        <v>2041</v>
      </c>
      <c r="E1610" s="45"/>
      <c r="F1610" s="44"/>
    </row>
    <row r="1611" spans="1:6" x14ac:dyDescent="0.35">
      <c r="A1611" s="88">
        <v>45687</v>
      </c>
      <c r="B1611" s="2" t="s">
        <v>1670</v>
      </c>
      <c r="C1611" s="36" t="s">
        <v>84</v>
      </c>
      <c r="D1611" s="17" t="s">
        <v>1105</v>
      </c>
      <c r="E1611" s="45"/>
      <c r="F1611" s="44"/>
    </row>
    <row r="1612" spans="1:6" x14ac:dyDescent="0.35">
      <c r="A1612" s="88">
        <v>45688</v>
      </c>
      <c r="B1612" s="2" t="s">
        <v>1701</v>
      </c>
      <c r="C1612" s="36" t="s">
        <v>84</v>
      </c>
      <c r="D1612" s="17" t="s">
        <v>2042</v>
      </c>
      <c r="E1612" s="45">
        <v>270.86</v>
      </c>
      <c r="F1612" s="44">
        <v>325.03199999999998</v>
      </c>
    </row>
    <row r="1613" spans="1:6" x14ac:dyDescent="0.35">
      <c r="A1613" s="88">
        <v>45688</v>
      </c>
      <c r="B1613" s="2" t="s">
        <v>1702</v>
      </c>
      <c r="C1613" s="36" t="s">
        <v>84</v>
      </c>
      <c r="D1613" s="17" t="s">
        <v>1519</v>
      </c>
      <c r="E1613" s="45"/>
      <c r="F1613" s="44"/>
    </row>
    <row r="1614" spans="1:6" x14ac:dyDescent="0.35">
      <c r="A1614" s="88">
        <v>45688</v>
      </c>
      <c r="B1614" s="2" t="s">
        <v>1348</v>
      </c>
      <c r="C1614" s="36" t="s">
        <v>84</v>
      </c>
      <c r="D1614" s="17" t="s">
        <v>1109</v>
      </c>
      <c r="E1614" s="45"/>
      <c r="F1614" s="44"/>
    </row>
    <row r="1615" spans="1:6" x14ac:dyDescent="0.35">
      <c r="A1615" s="88">
        <v>45688</v>
      </c>
      <c r="B1615" s="2" t="s">
        <v>1703</v>
      </c>
      <c r="C1615" s="36" t="s">
        <v>84</v>
      </c>
      <c r="D1615" s="17" t="s">
        <v>2043</v>
      </c>
      <c r="E1615" s="45"/>
      <c r="F1615" s="44"/>
    </row>
    <row r="1616" spans="1:6" x14ac:dyDescent="0.35">
      <c r="A1616" s="88">
        <v>45691</v>
      </c>
      <c r="B1616" s="2" t="s">
        <v>1705</v>
      </c>
      <c r="C1616" s="36" t="s">
        <v>594</v>
      </c>
      <c r="D1616" s="17" t="s">
        <v>2017</v>
      </c>
      <c r="E1616" s="45">
        <v>200</v>
      </c>
      <c r="F1616" s="44">
        <v>240</v>
      </c>
    </row>
    <row r="1617" spans="1:6" x14ac:dyDescent="0.35">
      <c r="A1617" s="88">
        <v>45691</v>
      </c>
      <c r="B1617" s="2" t="s">
        <v>1704</v>
      </c>
      <c r="C1617" s="36" t="s">
        <v>84</v>
      </c>
      <c r="D1617" s="17" t="s">
        <v>1099</v>
      </c>
      <c r="E1617" s="45"/>
      <c r="F1617" s="44"/>
    </row>
    <row r="1618" spans="1:6" x14ac:dyDescent="0.35">
      <c r="A1618" s="88">
        <v>45691</v>
      </c>
      <c r="B1618" s="2" t="s">
        <v>1254</v>
      </c>
      <c r="C1618" s="36" t="s">
        <v>84</v>
      </c>
      <c r="D1618" s="17" t="s">
        <v>2027</v>
      </c>
      <c r="E1618" s="45"/>
      <c r="F1618" s="44"/>
    </row>
    <row r="1619" spans="1:6" x14ac:dyDescent="0.35">
      <c r="A1619" s="88">
        <v>45691</v>
      </c>
      <c r="B1619" s="2" t="s">
        <v>1668</v>
      </c>
      <c r="C1619" s="36" t="s">
        <v>84</v>
      </c>
      <c r="D1619" s="17" t="s">
        <v>1609</v>
      </c>
      <c r="E1619" s="45"/>
      <c r="F1619" s="44"/>
    </row>
    <row r="1620" spans="1:6" x14ac:dyDescent="0.35">
      <c r="A1620" s="88">
        <v>45691</v>
      </c>
      <c r="B1620" s="2" t="s">
        <v>1706</v>
      </c>
      <c r="C1620" s="36" t="s">
        <v>84</v>
      </c>
      <c r="D1620" s="17" t="s">
        <v>1089</v>
      </c>
      <c r="E1620" s="45"/>
      <c r="F1620" s="44"/>
    </row>
    <row r="1621" spans="1:6" x14ac:dyDescent="0.35">
      <c r="A1621" s="88">
        <v>45691</v>
      </c>
      <c r="B1621" s="2" t="s">
        <v>1707</v>
      </c>
      <c r="C1621" s="36" t="s">
        <v>84</v>
      </c>
      <c r="D1621" s="17" t="s">
        <v>2044</v>
      </c>
      <c r="E1621" s="45"/>
      <c r="F1621" s="44"/>
    </row>
    <row r="1622" spans="1:6" x14ac:dyDescent="0.35">
      <c r="A1622" s="88">
        <v>45692</v>
      </c>
      <c r="B1622" s="2" t="s">
        <v>1708</v>
      </c>
      <c r="C1622" s="36" t="s">
        <v>594</v>
      </c>
      <c r="D1622" s="17" t="s">
        <v>2018</v>
      </c>
      <c r="E1622" s="45">
        <v>1780.8600000000001</v>
      </c>
      <c r="F1622" s="44">
        <v>2137.0320000000002</v>
      </c>
    </row>
    <row r="1623" spans="1:6" x14ac:dyDescent="0.35">
      <c r="A1623" s="88">
        <v>45692</v>
      </c>
      <c r="B1623" s="2" t="s">
        <v>1709</v>
      </c>
      <c r="C1623" s="36" t="s">
        <v>84</v>
      </c>
      <c r="D1623" s="17" t="s">
        <v>2027</v>
      </c>
      <c r="E1623" s="45"/>
      <c r="F1623" s="44"/>
    </row>
    <row r="1624" spans="1:6" x14ac:dyDescent="0.35">
      <c r="A1624" s="88">
        <v>45693</v>
      </c>
      <c r="B1624" s="2" t="s">
        <v>1150</v>
      </c>
      <c r="C1624" s="36" t="s">
        <v>84</v>
      </c>
      <c r="D1624" s="17" t="s">
        <v>2027</v>
      </c>
      <c r="E1624" s="45"/>
      <c r="F1624" s="44"/>
    </row>
    <row r="1625" spans="1:6" x14ac:dyDescent="0.35">
      <c r="A1625" s="88">
        <v>45693</v>
      </c>
      <c r="B1625" s="2" t="s">
        <v>1702</v>
      </c>
      <c r="C1625" s="36" t="s">
        <v>84</v>
      </c>
      <c r="D1625" s="17" t="s">
        <v>1519</v>
      </c>
      <c r="E1625" s="45"/>
      <c r="F1625" s="44"/>
    </row>
    <row r="1626" spans="1:6" x14ac:dyDescent="0.35">
      <c r="A1626" s="88">
        <v>45694</v>
      </c>
      <c r="B1626" s="2" t="s">
        <v>1710</v>
      </c>
      <c r="C1626" s="36" t="s">
        <v>84</v>
      </c>
      <c r="D1626" s="17" t="s">
        <v>2045</v>
      </c>
      <c r="E1626" s="45">
        <v>1270.8600000000001</v>
      </c>
      <c r="F1626" s="44">
        <v>1525.0320000000002</v>
      </c>
    </row>
    <row r="1627" spans="1:6" x14ac:dyDescent="0.35">
      <c r="A1627" s="88">
        <v>45694</v>
      </c>
      <c r="B1627" s="2" t="s">
        <v>1711</v>
      </c>
      <c r="C1627" s="36" t="s">
        <v>84</v>
      </c>
      <c r="D1627" s="17" t="s">
        <v>1614</v>
      </c>
      <c r="E1627" s="45"/>
      <c r="F1627" s="44"/>
    </row>
    <row r="1628" spans="1:6" x14ac:dyDescent="0.35">
      <c r="A1628" s="88">
        <v>45694</v>
      </c>
      <c r="B1628" s="2" t="s">
        <v>1670</v>
      </c>
      <c r="C1628" s="36" t="s">
        <v>84</v>
      </c>
      <c r="D1628" s="17" t="s">
        <v>1469</v>
      </c>
      <c r="E1628" s="45"/>
      <c r="F1628" s="44"/>
    </row>
    <row r="1629" spans="1:6" x14ac:dyDescent="0.35">
      <c r="A1629" s="88">
        <v>45695</v>
      </c>
      <c r="B1629" s="2" t="s">
        <v>1153</v>
      </c>
      <c r="C1629" s="36" t="s">
        <v>2004</v>
      </c>
      <c r="D1629" s="17" t="s">
        <v>2005</v>
      </c>
      <c r="E1629" s="45">
        <v>2335.4299999999998</v>
      </c>
      <c r="F1629" s="44">
        <v>2802.5159999999996</v>
      </c>
    </row>
    <row r="1630" spans="1:6" x14ac:dyDescent="0.35">
      <c r="A1630" s="88">
        <v>45695</v>
      </c>
      <c r="B1630" s="2" t="s">
        <v>1348</v>
      </c>
      <c r="C1630" s="36" t="s">
        <v>84</v>
      </c>
      <c r="D1630" s="17" t="s">
        <v>1109</v>
      </c>
      <c r="E1630" s="45"/>
      <c r="F1630" s="44"/>
    </row>
    <row r="1631" spans="1:6" x14ac:dyDescent="0.35">
      <c r="A1631" s="88">
        <v>45698</v>
      </c>
      <c r="B1631" s="2" t="s">
        <v>1712</v>
      </c>
      <c r="C1631" s="36" t="s">
        <v>84</v>
      </c>
      <c r="D1631" s="17" t="s">
        <v>1469</v>
      </c>
      <c r="E1631" s="45"/>
      <c r="F1631" s="44"/>
    </row>
    <row r="1632" spans="1:6" x14ac:dyDescent="0.35">
      <c r="A1632" s="88">
        <v>45698</v>
      </c>
      <c r="B1632" s="2" t="s">
        <v>1713</v>
      </c>
      <c r="C1632" s="36" t="s">
        <v>84</v>
      </c>
      <c r="D1632" s="17" t="s">
        <v>1558</v>
      </c>
      <c r="E1632" s="45"/>
      <c r="F1632" s="44"/>
    </row>
    <row r="1633" spans="1:6" x14ac:dyDescent="0.35">
      <c r="A1633" s="88">
        <v>45698</v>
      </c>
      <c r="B1633" s="2" t="s">
        <v>1714</v>
      </c>
      <c r="C1633" s="36" t="s">
        <v>84</v>
      </c>
      <c r="D1633" s="17" t="s">
        <v>2046</v>
      </c>
      <c r="E1633" s="45"/>
      <c r="F1633" s="44"/>
    </row>
    <row r="1634" spans="1:6" x14ac:dyDescent="0.35">
      <c r="A1634" s="88">
        <v>45698</v>
      </c>
      <c r="B1634" s="2" t="s">
        <v>1254</v>
      </c>
      <c r="C1634" s="36" t="s">
        <v>84</v>
      </c>
      <c r="D1634" s="17" t="s">
        <v>2027</v>
      </c>
      <c r="E1634" s="45"/>
      <c r="F1634" s="44"/>
    </row>
    <row r="1635" spans="1:6" x14ac:dyDescent="0.35">
      <c r="A1635" s="88">
        <v>45698</v>
      </c>
      <c r="B1635" s="2" t="s">
        <v>1681</v>
      </c>
      <c r="C1635" s="36" t="s">
        <v>84</v>
      </c>
      <c r="D1635" s="17" t="s">
        <v>2033</v>
      </c>
      <c r="E1635" s="45"/>
      <c r="F1635" s="44"/>
    </row>
    <row r="1636" spans="1:6" x14ac:dyDescent="0.35">
      <c r="A1636" s="88">
        <v>45699</v>
      </c>
      <c r="B1636" s="2" t="s">
        <v>1715</v>
      </c>
      <c r="C1636" s="36" t="s">
        <v>84</v>
      </c>
      <c r="D1636" s="17" t="s">
        <v>2047</v>
      </c>
      <c r="E1636" s="45"/>
      <c r="F1636" s="44"/>
    </row>
    <row r="1637" spans="1:6" x14ac:dyDescent="0.35">
      <c r="A1637" s="88">
        <v>45699</v>
      </c>
      <c r="B1637" s="2" t="s">
        <v>1716</v>
      </c>
      <c r="C1637" s="36" t="s">
        <v>84</v>
      </c>
      <c r="D1637" s="17" t="s">
        <v>1469</v>
      </c>
      <c r="E1637" s="45"/>
      <c r="F1637" s="44"/>
    </row>
    <row r="1638" spans="1:6" x14ac:dyDescent="0.35">
      <c r="A1638" s="88">
        <v>45700</v>
      </c>
      <c r="B1638" s="2" t="s">
        <v>1697</v>
      </c>
      <c r="C1638" s="36" t="s">
        <v>84</v>
      </c>
      <c r="D1638" s="17" t="s">
        <v>2035</v>
      </c>
      <c r="E1638" s="45"/>
      <c r="F1638" s="44"/>
    </row>
    <row r="1639" spans="1:6" x14ac:dyDescent="0.35">
      <c r="A1639" s="88">
        <v>45700</v>
      </c>
      <c r="B1639" s="2" t="s">
        <v>1702</v>
      </c>
      <c r="C1639" s="36" t="s">
        <v>84</v>
      </c>
      <c r="D1639" s="17" t="s">
        <v>1519</v>
      </c>
      <c r="E1639" s="45"/>
      <c r="F1639" s="44"/>
    </row>
    <row r="1640" spans="1:6" x14ac:dyDescent="0.35">
      <c r="A1640" s="88">
        <v>45700</v>
      </c>
      <c r="B1640" s="2" t="s">
        <v>1717</v>
      </c>
      <c r="C1640" s="36" t="s">
        <v>84</v>
      </c>
      <c r="D1640" s="17" t="s">
        <v>600</v>
      </c>
      <c r="E1640" s="45"/>
      <c r="F1640" s="44"/>
    </row>
    <row r="1641" spans="1:6" x14ac:dyDescent="0.35">
      <c r="A1641" s="88">
        <v>45701</v>
      </c>
      <c r="B1641" s="2" t="s">
        <v>1718</v>
      </c>
      <c r="C1641" s="36" t="s">
        <v>84</v>
      </c>
      <c r="D1641" s="17" t="s">
        <v>2027</v>
      </c>
      <c r="E1641" s="45"/>
      <c r="F1641" s="44"/>
    </row>
    <row r="1642" spans="1:6" x14ac:dyDescent="0.35">
      <c r="A1642" s="88">
        <v>45701</v>
      </c>
      <c r="B1642" s="2" t="s">
        <v>1670</v>
      </c>
      <c r="C1642" s="36" t="s">
        <v>84</v>
      </c>
      <c r="D1642" s="17" t="s">
        <v>1469</v>
      </c>
      <c r="E1642" s="45"/>
      <c r="F1642" s="44"/>
    </row>
    <row r="1643" spans="1:6" x14ac:dyDescent="0.35">
      <c r="A1643" s="88">
        <v>45701</v>
      </c>
      <c r="B1643" s="2" t="s">
        <v>1719</v>
      </c>
      <c r="C1643" s="36" t="s">
        <v>84</v>
      </c>
      <c r="D1643" s="17" t="s">
        <v>785</v>
      </c>
      <c r="E1643" s="45">
        <v>135.43</v>
      </c>
      <c r="F1643" s="44">
        <v>162.51599999999999</v>
      </c>
    </row>
    <row r="1644" spans="1:6" x14ac:dyDescent="0.35">
      <c r="A1644" s="88">
        <v>45702</v>
      </c>
      <c r="B1644" s="2" t="s">
        <v>1702</v>
      </c>
      <c r="C1644" s="36" t="s">
        <v>84</v>
      </c>
      <c r="D1644" s="17" t="s">
        <v>1519</v>
      </c>
      <c r="E1644" s="45"/>
      <c r="F1644" s="44"/>
    </row>
    <row r="1645" spans="1:6" x14ac:dyDescent="0.35">
      <c r="A1645" s="88">
        <v>45702</v>
      </c>
      <c r="B1645" s="2" t="s">
        <v>1720</v>
      </c>
      <c r="C1645" s="36" t="s">
        <v>84</v>
      </c>
      <c r="D1645" s="17" t="s">
        <v>2048</v>
      </c>
      <c r="E1645" s="45"/>
      <c r="F1645" s="44"/>
    </row>
    <row r="1646" spans="1:6" x14ac:dyDescent="0.35">
      <c r="A1646" s="88">
        <v>45705</v>
      </c>
      <c r="B1646" s="2" t="s">
        <v>1697</v>
      </c>
      <c r="C1646" s="36" t="s">
        <v>84</v>
      </c>
      <c r="D1646" s="17" t="s">
        <v>2035</v>
      </c>
      <c r="E1646" s="45"/>
      <c r="F1646" s="44"/>
    </row>
    <row r="1647" spans="1:6" x14ac:dyDescent="0.35">
      <c r="A1647" s="88">
        <v>45705</v>
      </c>
      <c r="B1647" s="2" t="s">
        <v>685</v>
      </c>
      <c r="C1647" s="36" t="s">
        <v>84</v>
      </c>
      <c r="D1647" s="17" t="s">
        <v>2049</v>
      </c>
      <c r="E1647" s="45"/>
      <c r="F1647" s="44"/>
    </row>
    <row r="1648" spans="1:6" x14ac:dyDescent="0.35">
      <c r="A1648" s="88">
        <v>45705</v>
      </c>
      <c r="B1648" s="2" t="s">
        <v>1721</v>
      </c>
      <c r="C1648" s="36" t="s">
        <v>84</v>
      </c>
      <c r="D1648" s="17" t="s">
        <v>1609</v>
      </c>
      <c r="E1648" s="45"/>
      <c r="F1648" s="44"/>
    </row>
    <row r="1649" spans="1:6" x14ac:dyDescent="0.35">
      <c r="A1649" s="88">
        <v>45707</v>
      </c>
      <c r="B1649" s="2" t="s">
        <v>1722</v>
      </c>
      <c r="C1649" s="36" t="s">
        <v>84</v>
      </c>
      <c r="D1649" s="17" t="s">
        <v>1116</v>
      </c>
      <c r="E1649" s="45"/>
      <c r="F1649" s="44"/>
    </row>
    <row r="1650" spans="1:6" x14ac:dyDescent="0.35">
      <c r="A1650" s="88">
        <v>45708</v>
      </c>
      <c r="B1650" s="2" t="s">
        <v>148</v>
      </c>
      <c r="C1650" s="36" t="s">
        <v>84</v>
      </c>
      <c r="D1650" s="17" t="s">
        <v>1455</v>
      </c>
      <c r="E1650" s="45"/>
      <c r="F1650" s="44"/>
    </row>
    <row r="1651" spans="1:6" x14ac:dyDescent="0.35">
      <c r="A1651" s="88">
        <v>45712</v>
      </c>
      <c r="B1651" s="2" t="s">
        <v>1254</v>
      </c>
      <c r="C1651" s="36" t="s">
        <v>84</v>
      </c>
      <c r="D1651" s="17" t="s">
        <v>2027</v>
      </c>
      <c r="E1651" s="45"/>
      <c r="F1651" s="44"/>
    </row>
    <row r="1652" spans="1:6" x14ac:dyDescent="0.35">
      <c r="A1652" s="88">
        <v>45712</v>
      </c>
      <c r="B1652" s="2" t="s">
        <v>1723</v>
      </c>
      <c r="C1652" s="36" t="s">
        <v>84</v>
      </c>
      <c r="D1652" s="17" t="s">
        <v>1609</v>
      </c>
      <c r="E1652" s="45"/>
      <c r="F1652" s="44"/>
    </row>
    <row r="1653" spans="1:6" x14ac:dyDescent="0.35">
      <c r="A1653" s="88">
        <v>45713</v>
      </c>
      <c r="B1653" s="2" t="s">
        <v>1697</v>
      </c>
      <c r="C1653" s="36" t="s">
        <v>84</v>
      </c>
      <c r="D1653" s="17" t="s">
        <v>2035</v>
      </c>
      <c r="E1653" s="45"/>
      <c r="F1653" s="44"/>
    </row>
    <row r="1654" spans="1:6" x14ac:dyDescent="0.35">
      <c r="A1654" s="88">
        <v>45713</v>
      </c>
      <c r="B1654" s="2" t="s">
        <v>1319</v>
      </c>
      <c r="C1654" s="36" t="s">
        <v>84</v>
      </c>
      <c r="D1654" s="17" t="s">
        <v>2050</v>
      </c>
      <c r="E1654" s="45"/>
      <c r="F1654" s="44"/>
    </row>
    <row r="1655" spans="1:6" x14ac:dyDescent="0.35">
      <c r="A1655" s="88">
        <v>45713</v>
      </c>
      <c r="B1655" s="2" t="s">
        <v>1724</v>
      </c>
      <c r="C1655" s="36" t="s">
        <v>84</v>
      </c>
      <c r="D1655" s="17" t="s">
        <v>1458</v>
      </c>
      <c r="E1655" s="45"/>
      <c r="F1655" s="44"/>
    </row>
    <row r="1656" spans="1:6" x14ac:dyDescent="0.35">
      <c r="A1656" s="88">
        <v>45714</v>
      </c>
      <c r="B1656" s="2" t="s">
        <v>1697</v>
      </c>
      <c r="C1656" s="36" t="s">
        <v>84</v>
      </c>
      <c r="D1656" s="17" t="s">
        <v>2035</v>
      </c>
      <c r="E1656" s="45"/>
      <c r="F1656" s="44"/>
    </row>
    <row r="1657" spans="1:6" x14ac:dyDescent="0.35">
      <c r="A1657" s="88">
        <v>45715</v>
      </c>
      <c r="B1657" s="2" t="s">
        <v>1725</v>
      </c>
      <c r="C1657" s="36" t="s">
        <v>84</v>
      </c>
      <c r="D1657" s="17" t="s">
        <v>600</v>
      </c>
      <c r="E1657" s="45"/>
      <c r="F1657" s="44"/>
    </row>
    <row r="1658" spans="1:6" x14ac:dyDescent="0.35">
      <c r="A1658" s="88">
        <v>45715</v>
      </c>
      <c r="B1658" s="2" t="s">
        <v>1670</v>
      </c>
      <c r="C1658" s="36" t="s">
        <v>84</v>
      </c>
      <c r="D1658" s="17" t="s">
        <v>1469</v>
      </c>
      <c r="E1658" s="45"/>
      <c r="F1658" s="44"/>
    </row>
    <row r="1659" spans="1:6" x14ac:dyDescent="0.35">
      <c r="A1659" s="88">
        <v>45716</v>
      </c>
      <c r="B1659" s="2" t="s">
        <v>1722</v>
      </c>
      <c r="C1659" s="36" t="s">
        <v>84</v>
      </c>
      <c r="D1659" s="17" t="s">
        <v>1116</v>
      </c>
      <c r="E1659" s="45"/>
      <c r="F1659" s="44"/>
    </row>
    <row r="1660" spans="1:6" x14ac:dyDescent="0.35">
      <c r="A1660" s="88">
        <v>45716</v>
      </c>
      <c r="B1660" s="2" t="s">
        <v>1726</v>
      </c>
      <c r="C1660" s="36" t="s">
        <v>84</v>
      </c>
      <c r="D1660" s="17" t="s">
        <v>1458</v>
      </c>
      <c r="E1660" s="45"/>
      <c r="F1660" s="44"/>
    </row>
    <row r="1661" spans="1:6" x14ac:dyDescent="0.35">
      <c r="A1661" s="88">
        <v>45719</v>
      </c>
      <c r="B1661" s="2" t="s">
        <v>1712</v>
      </c>
      <c r="C1661" s="36" t="s">
        <v>84</v>
      </c>
      <c r="D1661" s="17" t="s">
        <v>1469</v>
      </c>
      <c r="E1661" s="45"/>
      <c r="F1661" s="44"/>
    </row>
    <row r="1662" spans="1:6" x14ac:dyDescent="0.35">
      <c r="A1662" s="88">
        <v>45719</v>
      </c>
      <c r="B1662" s="2" t="s">
        <v>1727</v>
      </c>
      <c r="C1662" s="36" t="s">
        <v>84</v>
      </c>
      <c r="D1662" s="17" t="s">
        <v>1558</v>
      </c>
      <c r="E1662" s="45"/>
      <c r="F1662" s="44"/>
    </row>
    <row r="1663" spans="1:6" x14ac:dyDescent="0.35">
      <c r="A1663" s="88">
        <v>45719</v>
      </c>
      <c r="B1663" s="2" t="s">
        <v>1728</v>
      </c>
      <c r="C1663" s="36" t="s">
        <v>84</v>
      </c>
      <c r="D1663" s="17" t="s">
        <v>1458</v>
      </c>
      <c r="E1663" s="45"/>
      <c r="F1663" s="44"/>
    </row>
    <row r="1664" spans="1:6" x14ac:dyDescent="0.35">
      <c r="A1664" s="88">
        <v>45719</v>
      </c>
      <c r="B1664" s="2" t="s">
        <v>1729</v>
      </c>
      <c r="C1664" s="36" t="s">
        <v>84</v>
      </c>
      <c r="D1664" s="17" t="s">
        <v>2051</v>
      </c>
      <c r="E1664" s="45"/>
      <c r="F1664" s="44"/>
    </row>
    <row r="1665" spans="1:6" x14ac:dyDescent="0.35">
      <c r="A1665" s="88">
        <v>45719</v>
      </c>
      <c r="B1665" s="2" t="s">
        <v>1254</v>
      </c>
      <c r="C1665" s="36" t="s">
        <v>84</v>
      </c>
      <c r="D1665" s="17" t="s">
        <v>2027</v>
      </c>
      <c r="E1665" s="45"/>
      <c r="F1665" s="44"/>
    </row>
    <row r="1666" spans="1:6" x14ac:dyDescent="0.35">
      <c r="A1666" s="88">
        <v>45720</v>
      </c>
      <c r="B1666" s="2" t="s">
        <v>1730</v>
      </c>
      <c r="C1666" s="36" t="s">
        <v>84</v>
      </c>
      <c r="D1666" s="17" t="s">
        <v>2052</v>
      </c>
      <c r="E1666" s="45"/>
      <c r="F1666" s="44"/>
    </row>
    <row r="1667" spans="1:6" x14ac:dyDescent="0.35">
      <c r="A1667" s="88">
        <v>45721</v>
      </c>
      <c r="B1667" s="2" t="s">
        <v>1697</v>
      </c>
      <c r="C1667" s="36" t="s">
        <v>84</v>
      </c>
      <c r="D1667" s="17" t="s">
        <v>2035</v>
      </c>
      <c r="E1667" s="45"/>
      <c r="F1667" s="44"/>
    </row>
    <row r="1668" spans="1:6" x14ac:dyDescent="0.35">
      <c r="A1668" s="88">
        <v>45722</v>
      </c>
      <c r="B1668" s="2" t="s">
        <v>1732</v>
      </c>
      <c r="C1668" s="36" t="s">
        <v>2004</v>
      </c>
      <c r="D1668" s="17" t="s">
        <v>2006</v>
      </c>
      <c r="E1668" s="45">
        <v>4206.29</v>
      </c>
      <c r="F1668" s="44">
        <v>5047.5479999999998</v>
      </c>
    </row>
    <row r="1669" spans="1:6" x14ac:dyDescent="0.35">
      <c r="A1669" s="88">
        <v>45722</v>
      </c>
      <c r="B1669" s="2" t="s">
        <v>1731</v>
      </c>
      <c r="C1669" s="36" t="s">
        <v>84</v>
      </c>
      <c r="D1669" s="17" t="s">
        <v>2032</v>
      </c>
      <c r="E1669" s="45"/>
      <c r="F1669" s="44"/>
    </row>
    <row r="1670" spans="1:6" x14ac:dyDescent="0.35">
      <c r="A1670" s="88">
        <v>45722</v>
      </c>
      <c r="B1670" s="2" t="s">
        <v>1733</v>
      </c>
      <c r="C1670" s="36" t="s">
        <v>84</v>
      </c>
      <c r="D1670" s="17" t="s">
        <v>2035</v>
      </c>
      <c r="E1670" s="45"/>
      <c r="F1670" s="44"/>
    </row>
    <row r="1671" spans="1:6" x14ac:dyDescent="0.35">
      <c r="A1671" s="88">
        <v>45723</v>
      </c>
      <c r="B1671" s="2" t="s">
        <v>333</v>
      </c>
      <c r="C1671" s="36" t="s">
        <v>84</v>
      </c>
      <c r="D1671" s="17" t="s">
        <v>2053</v>
      </c>
      <c r="E1671" s="45">
        <v>370.89</v>
      </c>
      <c r="F1671" s="44">
        <v>325.06799999999998</v>
      </c>
    </row>
    <row r="1672" spans="1:6" x14ac:dyDescent="0.35">
      <c r="A1672" s="88">
        <v>45723</v>
      </c>
      <c r="B1672" s="2" t="s">
        <v>1734</v>
      </c>
      <c r="C1672" s="36" t="s">
        <v>84</v>
      </c>
      <c r="D1672" s="17" t="s">
        <v>2054</v>
      </c>
      <c r="E1672" s="45"/>
      <c r="F1672" s="44"/>
    </row>
    <row r="1673" spans="1:6" x14ac:dyDescent="0.35">
      <c r="A1673" s="88">
        <v>45726</v>
      </c>
      <c r="B1673" s="2" t="s">
        <v>1254</v>
      </c>
      <c r="C1673" s="36" t="s">
        <v>84</v>
      </c>
      <c r="D1673" s="17" t="s">
        <v>2027</v>
      </c>
      <c r="E1673" s="45"/>
      <c r="F1673" s="44"/>
    </row>
    <row r="1674" spans="1:6" x14ac:dyDescent="0.35">
      <c r="A1674" s="88">
        <v>45726</v>
      </c>
      <c r="B1674" s="2" t="s">
        <v>472</v>
      </c>
      <c r="C1674" s="36" t="s">
        <v>84</v>
      </c>
      <c r="D1674" s="17" t="s">
        <v>1469</v>
      </c>
      <c r="E1674" s="45"/>
      <c r="F1674" s="44"/>
    </row>
    <row r="1675" spans="1:6" x14ac:dyDescent="0.35">
      <c r="A1675" s="88">
        <v>45726</v>
      </c>
      <c r="B1675" s="2" t="s">
        <v>1735</v>
      </c>
      <c r="C1675" s="36" t="s">
        <v>84</v>
      </c>
      <c r="D1675" s="17" t="s">
        <v>2055</v>
      </c>
      <c r="E1675" s="45"/>
      <c r="F1675" s="44"/>
    </row>
    <row r="1676" spans="1:6" x14ac:dyDescent="0.35">
      <c r="A1676" s="88">
        <v>45727</v>
      </c>
      <c r="B1676" s="2" t="s">
        <v>285</v>
      </c>
      <c r="C1676" s="36" t="s">
        <v>84</v>
      </c>
      <c r="D1676" s="17" t="s">
        <v>1476</v>
      </c>
      <c r="E1676" s="45"/>
      <c r="F1676" s="44"/>
    </row>
    <row r="1677" spans="1:6" x14ac:dyDescent="0.35">
      <c r="A1677" s="88">
        <v>45727</v>
      </c>
      <c r="B1677" s="2" t="s">
        <v>1736</v>
      </c>
      <c r="C1677" s="36" t="s">
        <v>84</v>
      </c>
      <c r="D1677" s="17" t="s">
        <v>2038</v>
      </c>
      <c r="E1677" s="45"/>
      <c r="F1677" s="44"/>
    </row>
    <row r="1678" spans="1:6" x14ac:dyDescent="0.35">
      <c r="A1678" s="88">
        <v>45728</v>
      </c>
      <c r="B1678" s="2" t="s">
        <v>1738</v>
      </c>
      <c r="C1678" s="36" t="s">
        <v>2004</v>
      </c>
      <c r="D1678" s="17" t="s">
        <v>2007</v>
      </c>
      <c r="E1678" s="45">
        <v>2335.4299999999998</v>
      </c>
      <c r="F1678" s="44">
        <v>2802.5159999999996</v>
      </c>
    </row>
    <row r="1679" spans="1:6" x14ac:dyDescent="0.35">
      <c r="A1679" s="88">
        <v>45728</v>
      </c>
      <c r="B1679" s="2" t="s">
        <v>1737</v>
      </c>
      <c r="C1679" s="36" t="s">
        <v>84</v>
      </c>
      <c r="D1679" s="17" t="s">
        <v>2035</v>
      </c>
      <c r="E1679" s="45"/>
      <c r="F1679" s="44"/>
    </row>
    <row r="1680" spans="1:6" x14ac:dyDescent="0.35">
      <c r="A1680" s="88">
        <v>45729</v>
      </c>
      <c r="B1680" s="2" t="s">
        <v>1739</v>
      </c>
      <c r="C1680" s="36" t="s">
        <v>84</v>
      </c>
      <c r="D1680" s="17" t="s">
        <v>1558</v>
      </c>
      <c r="E1680" s="45"/>
      <c r="F1680" s="44"/>
    </row>
    <row r="1681" spans="1:6" x14ac:dyDescent="0.35">
      <c r="A1681" s="88">
        <v>45729</v>
      </c>
      <c r="B1681" s="2" t="s">
        <v>1670</v>
      </c>
      <c r="C1681" s="36" t="s">
        <v>84</v>
      </c>
      <c r="D1681" s="17" t="s">
        <v>1469</v>
      </c>
      <c r="E1681" s="45"/>
      <c r="F1681" s="44"/>
    </row>
    <row r="1682" spans="1:6" x14ac:dyDescent="0.35">
      <c r="A1682" s="88">
        <v>45729</v>
      </c>
      <c r="B1682" s="2" t="s">
        <v>1740</v>
      </c>
      <c r="C1682" s="36" t="s">
        <v>84</v>
      </c>
      <c r="D1682" s="17" t="s">
        <v>1558</v>
      </c>
      <c r="E1682" s="45"/>
      <c r="F1682" s="44"/>
    </row>
    <row r="1683" spans="1:6" x14ac:dyDescent="0.35">
      <c r="A1683" s="88">
        <v>45730</v>
      </c>
      <c r="B1683" s="2" t="s">
        <v>1741</v>
      </c>
      <c r="C1683" s="36" t="s">
        <v>84</v>
      </c>
      <c r="D1683" s="17" t="s">
        <v>2056</v>
      </c>
      <c r="E1683" s="45">
        <v>0</v>
      </c>
      <c r="F1683" s="44">
        <v>0</v>
      </c>
    </row>
    <row r="1684" spans="1:6" x14ac:dyDescent="0.35">
      <c r="A1684" s="88">
        <v>45733</v>
      </c>
      <c r="B1684" s="2" t="s">
        <v>1742</v>
      </c>
      <c r="C1684" s="36" t="s">
        <v>84</v>
      </c>
      <c r="D1684" s="17" t="s">
        <v>2057</v>
      </c>
      <c r="E1684" s="45">
        <v>270.86</v>
      </c>
      <c r="F1684" s="44">
        <v>325.03199999999998</v>
      </c>
    </row>
    <row r="1685" spans="1:6" x14ac:dyDescent="0.35">
      <c r="A1685" s="88">
        <v>45733</v>
      </c>
      <c r="B1685" s="2" t="s">
        <v>1743</v>
      </c>
      <c r="C1685" s="36" t="s">
        <v>84</v>
      </c>
      <c r="D1685" s="17" t="s">
        <v>2058</v>
      </c>
      <c r="E1685" s="45"/>
      <c r="F1685" s="44"/>
    </row>
    <row r="1686" spans="1:6" x14ac:dyDescent="0.35">
      <c r="A1686" s="88">
        <v>45735</v>
      </c>
      <c r="B1686" s="2" t="s">
        <v>1744</v>
      </c>
      <c r="C1686" s="36" t="s">
        <v>84</v>
      </c>
      <c r="D1686" s="17" t="s">
        <v>1565</v>
      </c>
      <c r="E1686" s="45"/>
      <c r="F1686" s="44"/>
    </row>
    <row r="1687" spans="1:6" x14ac:dyDescent="0.35">
      <c r="A1687" s="88">
        <v>45735</v>
      </c>
      <c r="B1687" s="2" t="s">
        <v>1745</v>
      </c>
      <c r="C1687" s="36" t="s">
        <v>84</v>
      </c>
      <c r="D1687" s="17" t="s">
        <v>1614</v>
      </c>
      <c r="E1687" s="45"/>
      <c r="F1687" s="44"/>
    </row>
    <row r="1688" spans="1:6" x14ac:dyDescent="0.35">
      <c r="A1688" s="88">
        <v>45735</v>
      </c>
      <c r="B1688" s="2" t="s">
        <v>1746</v>
      </c>
      <c r="C1688" s="36" t="s">
        <v>84</v>
      </c>
      <c r="D1688" s="17" t="s">
        <v>2035</v>
      </c>
      <c r="E1688" s="45"/>
      <c r="F1688" s="44"/>
    </row>
    <row r="1689" spans="1:6" x14ac:dyDescent="0.35">
      <c r="A1689" s="88">
        <v>45735</v>
      </c>
      <c r="B1689" s="2" t="s">
        <v>1747</v>
      </c>
      <c r="C1689" s="36" t="s">
        <v>84</v>
      </c>
      <c r="D1689" s="17" t="s">
        <v>1469</v>
      </c>
      <c r="E1689" s="45"/>
      <c r="F1689" s="44"/>
    </row>
    <row r="1690" spans="1:6" x14ac:dyDescent="0.35">
      <c r="A1690" s="88">
        <v>45736</v>
      </c>
      <c r="B1690" s="2" t="s">
        <v>1319</v>
      </c>
      <c r="C1690" s="36" t="s">
        <v>84</v>
      </c>
      <c r="D1690" s="17" t="s">
        <v>2050</v>
      </c>
      <c r="E1690" s="45"/>
      <c r="F1690" s="44"/>
    </row>
    <row r="1691" spans="1:6" x14ac:dyDescent="0.35">
      <c r="A1691" s="88">
        <v>45736</v>
      </c>
      <c r="B1691" s="2" t="s">
        <v>1748</v>
      </c>
      <c r="C1691" s="36" t="s">
        <v>84</v>
      </c>
      <c r="D1691" s="17" t="s">
        <v>2059</v>
      </c>
      <c r="E1691" s="45"/>
      <c r="F1691" s="44"/>
    </row>
    <row r="1692" spans="1:6" x14ac:dyDescent="0.35">
      <c r="A1692" s="88">
        <v>45736</v>
      </c>
      <c r="B1692" s="2" t="s">
        <v>1670</v>
      </c>
      <c r="C1692" s="36" t="s">
        <v>84</v>
      </c>
      <c r="D1692" s="17" t="s">
        <v>1469</v>
      </c>
      <c r="E1692" s="45"/>
      <c r="F1692" s="44"/>
    </row>
    <row r="1693" spans="1:6" x14ac:dyDescent="0.35">
      <c r="A1693" s="88">
        <v>45736</v>
      </c>
      <c r="B1693" s="2" t="s">
        <v>1749</v>
      </c>
      <c r="C1693" s="36" t="s">
        <v>84</v>
      </c>
      <c r="D1693" s="17" t="s">
        <v>1455</v>
      </c>
      <c r="E1693" s="45">
        <v>270.86</v>
      </c>
      <c r="F1693" s="44">
        <v>325.03199999999998</v>
      </c>
    </row>
    <row r="1694" spans="1:6" x14ac:dyDescent="0.35">
      <c r="A1694" s="88">
        <v>45737</v>
      </c>
      <c r="B1694" s="2" t="s">
        <v>1427</v>
      </c>
      <c r="C1694" s="36" t="s">
        <v>84</v>
      </c>
      <c r="D1694" s="17" t="s">
        <v>1615</v>
      </c>
      <c r="E1694" s="45"/>
      <c r="F1694" s="44"/>
    </row>
    <row r="1695" spans="1:6" x14ac:dyDescent="0.35">
      <c r="A1695" s="88">
        <v>45740</v>
      </c>
      <c r="B1695" s="2" t="s">
        <v>1712</v>
      </c>
      <c r="C1695" s="36" t="s">
        <v>84</v>
      </c>
      <c r="D1695" s="17" t="s">
        <v>1469</v>
      </c>
      <c r="E1695" s="45"/>
      <c r="F1695" s="44"/>
    </row>
    <row r="1696" spans="1:6" x14ac:dyDescent="0.35">
      <c r="A1696" s="88">
        <v>45740</v>
      </c>
      <c r="B1696" s="2" t="s">
        <v>1750</v>
      </c>
      <c r="C1696" s="36" t="s">
        <v>84</v>
      </c>
      <c r="D1696" s="17" t="s">
        <v>2039</v>
      </c>
      <c r="E1696" s="45"/>
      <c r="F1696" s="44"/>
    </row>
    <row r="1697" spans="1:6" x14ac:dyDescent="0.35">
      <c r="A1697" s="88">
        <v>45740</v>
      </c>
      <c r="B1697" s="2" t="s">
        <v>1254</v>
      </c>
      <c r="C1697" s="36" t="s">
        <v>84</v>
      </c>
      <c r="D1697" s="17" t="s">
        <v>2027</v>
      </c>
      <c r="E1697" s="45"/>
      <c r="F1697" s="44"/>
    </row>
    <row r="1698" spans="1:6" x14ac:dyDescent="0.35">
      <c r="A1698" s="88">
        <v>45740</v>
      </c>
      <c r="B1698" s="2" t="s">
        <v>1751</v>
      </c>
      <c r="C1698" s="36" t="s">
        <v>84</v>
      </c>
      <c r="D1698" s="17" t="s">
        <v>1469</v>
      </c>
      <c r="E1698" s="45"/>
      <c r="F1698" s="44"/>
    </row>
    <row r="1699" spans="1:6" x14ac:dyDescent="0.35">
      <c r="A1699" s="88">
        <v>45741</v>
      </c>
      <c r="B1699" s="2" t="s">
        <v>1752</v>
      </c>
      <c r="C1699" s="36" t="s">
        <v>84</v>
      </c>
      <c r="D1699" s="17" t="s">
        <v>2060</v>
      </c>
      <c r="E1699" s="45"/>
      <c r="F1699" s="44"/>
    </row>
    <row r="1700" spans="1:6" x14ac:dyDescent="0.35">
      <c r="A1700" s="88">
        <v>45741</v>
      </c>
      <c r="B1700" s="2" t="s">
        <v>1753</v>
      </c>
      <c r="C1700" s="36" t="s">
        <v>84</v>
      </c>
      <c r="D1700" s="17" t="s">
        <v>1042</v>
      </c>
      <c r="E1700" s="45">
        <v>135.43</v>
      </c>
      <c r="F1700" s="44">
        <v>162.51599999999999</v>
      </c>
    </row>
    <row r="1701" spans="1:6" x14ac:dyDescent="0.35">
      <c r="A1701" s="88">
        <v>45741</v>
      </c>
      <c r="B1701" s="2" t="s">
        <v>1754</v>
      </c>
      <c r="C1701" s="36" t="s">
        <v>84</v>
      </c>
      <c r="D1701" s="17" t="s">
        <v>1609</v>
      </c>
      <c r="E1701" s="45"/>
      <c r="F1701" s="44"/>
    </row>
    <row r="1702" spans="1:6" x14ac:dyDescent="0.35">
      <c r="A1702" s="88">
        <v>45742</v>
      </c>
      <c r="B1702" s="2" t="s">
        <v>1755</v>
      </c>
      <c r="C1702" s="36" t="s">
        <v>84</v>
      </c>
      <c r="D1702" s="17" t="s">
        <v>597</v>
      </c>
      <c r="E1702" s="45">
        <v>79.2</v>
      </c>
      <c r="F1702" s="44">
        <v>95.04</v>
      </c>
    </row>
    <row r="1703" spans="1:6" x14ac:dyDescent="0.35">
      <c r="A1703" s="88">
        <v>45742</v>
      </c>
      <c r="B1703" s="2" t="s">
        <v>1746</v>
      </c>
      <c r="C1703" s="36" t="s">
        <v>84</v>
      </c>
      <c r="D1703" s="17" t="s">
        <v>2035</v>
      </c>
      <c r="E1703" s="45"/>
      <c r="F1703" s="44"/>
    </row>
    <row r="1704" spans="1:6" x14ac:dyDescent="0.35">
      <c r="A1704" s="88">
        <v>45743</v>
      </c>
      <c r="B1704" s="2" t="s">
        <v>1757</v>
      </c>
      <c r="C1704" s="36" t="s">
        <v>594</v>
      </c>
      <c r="D1704" s="17" t="s">
        <v>1460</v>
      </c>
      <c r="E1704" s="45">
        <v>200</v>
      </c>
      <c r="F1704" s="44">
        <v>240</v>
      </c>
    </row>
    <row r="1705" spans="1:6" x14ac:dyDescent="0.35">
      <c r="A1705" s="88">
        <v>45743</v>
      </c>
      <c r="B1705" s="2" t="s">
        <v>1670</v>
      </c>
      <c r="C1705" s="36" t="s">
        <v>84</v>
      </c>
      <c r="D1705" s="17" t="s">
        <v>1469</v>
      </c>
      <c r="E1705" s="45"/>
      <c r="F1705" s="44"/>
    </row>
    <row r="1706" spans="1:6" x14ac:dyDescent="0.35">
      <c r="A1706" s="88">
        <v>45743</v>
      </c>
      <c r="B1706" s="2" t="s">
        <v>1756</v>
      </c>
      <c r="C1706" s="36" t="s">
        <v>84</v>
      </c>
      <c r="D1706" s="17" t="s">
        <v>2061</v>
      </c>
      <c r="E1706" s="45">
        <v>541.72</v>
      </c>
      <c r="F1706" s="44">
        <v>650.06399999999996</v>
      </c>
    </row>
    <row r="1707" spans="1:6" x14ac:dyDescent="0.35">
      <c r="A1707" s="88">
        <v>45747</v>
      </c>
      <c r="B1707" s="2" t="s">
        <v>1254</v>
      </c>
      <c r="C1707" s="36" t="s">
        <v>84</v>
      </c>
      <c r="D1707" s="17" t="s">
        <v>2027</v>
      </c>
      <c r="E1707" s="45"/>
      <c r="F1707" s="44"/>
    </row>
    <row r="1708" spans="1:6" x14ac:dyDescent="0.35">
      <c r="A1708" s="88">
        <v>45747</v>
      </c>
      <c r="B1708" s="2" t="s">
        <v>1758</v>
      </c>
      <c r="C1708" s="36" t="s">
        <v>84</v>
      </c>
      <c r="D1708" s="17" t="s">
        <v>1116</v>
      </c>
      <c r="E1708" s="45"/>
      <c r="F1708" s="44"/>
    </row>
    <row r="1709" spans="1:6" x14ac:dyDescent="0.35">
      <c r="A1709" s="88">
        <v>45747</v>
      </c>
      <c r="B1709" s="2" t="s">
        <v>1759</v>
      </c>
      <c r="C1709" s="36" t="s">
        <v>84</v>
      </c>
      <c r="D1709" s="17" t="s">
        <v>1558</v>
      </c>
      <c r="E1709" s="45"/>
      <c r="F1709" s="44"/>
    </row>
    <row r="1710" spans="1:6" x14ac:dyDescent="0.35">
      <c r="A1710" s="88">
        <v>45748</v>
      </c>
      <c r="B1710" s="2" t="s">
        <v>1721</v>
      </c>
      <c r="C1710" s="36" t="s">
        <v>84</v>
      </c>
      <c r="D1710" s="17" t="s">
        <v>1609</v>
      </c>
      <c r="E1710" s="45"/>
      <c r="F1710" s="44"/>
    </row>
    <row r="1711" spans="1:6" x14ac:dyDescent="0.35">
      <c r="A1711" s="88">
        <v>45749</v>
      </c>
      <c r="B1711" s="2" t="s">
        <v>1760</v>
      </c>
      <c r="C1711" s="36" t="s">
        <v>84</v>
      </c>
      <c r="D1711" s="17" t="s">
        <v>1609</v>
      </c>
      <c r="E1711" s="45"/>
      <c r="F1711" s="44"/>
    </row>
    <row r="1712" spans="1:6" x14ac:dyDescent="0.35">
      <c r="A1712" s="88">
        <v>45749</v>
      </c>
      <c r="B1712" s="2" t="s">
        <v>1761</v>
      </c>
      <c r="C1712" s="36" t="s">
        <v>84</v>
      </c>
      <c r="D1712" s="17" t="s">
        <v>2027</v>
      </c>
      <c r="E1712" s="45"/>
      <c r="F1712" s="44"/>
    </row>
    <row r="1713" spans="1:6" x14ac:dyDescent="0.35">
      <c r="A1713" s="88">
        <v>45749</v>
      </c>
      <c r="B1713" s="2" t="s">
        <v>1762</v>
      </c>
      <c r="C1713" s="36" t="s">
        <v>84</v>
      </c>
      <c r="D1713" s="17" t="s">
        <v>2062</v>
      </c>
      <c r="E1713" s="45">
        <v>158.43</v>
      </c>
      <c r="F1713" s="44">
        <v>190.11600000000001</v>
      </c>
    </row>
    <row r="1714" spans="1:6" x14ac:dyDescent="0.35">
      <c r="A1714" s="88">
        <v>45749</v>
      </c>
      <c r="B1714" s="2" t="s">
        <v>1763</v>
      </c>
      <c r="C1714" s="36" t="s">
        <v>84</v>
      </c>
      <c r="D1714" s="17" t="s">
        <v>2063</v>
      </c>
      <c r="E1714" s="45"/>
      <c r="F1714" s="44"/>
    </row>
    <row r="1715" spans="1:6" x14ac:dyDescent="0.35">
      <c r="A1715" s="88">
        <v>45750</v>
      </c>
      <c r="B1715" s="2" t="s">
        <v>1764</v>
      </c>
      <c r="C1715" s="36" t="s">
        <v>84</v>
      </c>
      <c r="D1715" s="17" t="s">
        <v>2064</v>
      </c>
      <c r="E1715" s="45">
        <v>812.58</v>
      </c>
      <c r="F1715" s="44">
        <v>975.096</v>
      </c>
    </row>
    <row r="1716" spans="1:6" x14ac:dyDescent="0.35">
      <c r="A1716" s="88">
        <v>45750</v>
      </c>
      <c r="B1716" s="2" t="s">
        <v>825</v>
      </c>
      <c r="C1716" s="36" t="s">
        <v>84</v>
      </c>
      <c r="D1716" s="17" t="s">
        <v>600</v>
      </c>
      <c r="E1716" s="45"/>
      <c r="F1716" s="44"/>
    </row>
    <row r="1717" spans="1:6" x14ac:dyDescent="0.35">
      <c r="A1717" s="88">
        <v>45752</v>
      </c>
      <c r="B1717" s="2" t="s">
        <v>622</v>
      </c>
      <c r="C1717" s="36" t="s">
        <v>84</v>
      </c>
      <c r="D1717" s="17" t="s">
        <v>2065</v>
      </c>
      <c r="E1717" s="45">
        <v>198</v>
      </c>
      <c r="F1717" s="44">
        <v>237.6</v>
      </c>
    </row>
    <row r="1718" spans="1:6" x14ac:dyDescent="0.35">
      <c r="A1718" s="88">
        <v>45754</v>
      </c>
      <c r="B1718" s="2" t="s">
        <v>1712</v>
      </c>
      <c r="C1718" s="36" t="s">
        <v>84</v>
      </c>
      <c r="D1718" s="17" t="s">
        <v>1469</v>
      </c>
      <c r="E1718" s="45"/>
      <c r="F1718" s="44"/>
    </row>
    <row r="1719" spans="1:6" x14ac:dyDescent="0.35">
      <c r="A1719" s="88">
        <v>45754</v>
      </c>
      <c r="B1719" s="2" t="s">
        <v>1254</v>
      </c>
      <c r="C1719" s="36" t="s">
        <v>84</v>
      </c>
      <c r="D1719" s="17" t="s">
        <v>2027</v>
      </c>
      <c r="E1719" s="45"/>
      <c r="F1719" s="44"/>
    </row>
    <row r="1720" spans="1:6" x14ac:dyDescent="0.35">
      <c r="A1720" s="88">
        <v>45754</v>
      </c>
      <c r="B1720" s="2" t="s">
        <v>1765</v>
      </c>
      <c r="C1720" s="36" t="s">
        <v>84</v>
      </c>
      <c r="D1720" s="17" t="s">
        <v>2008</v>
      </c>
      <c r="E1720" s="45">
        <v>0</v>
      </c>
      <c r="F1720" s="44">
        <v>0</v>
      </c>
    </row>
    <row r="1721" spans="1:6" x14ac:dyDescent="0.35">
      <c r="A1721" s="88">
        <v>45754</v>
      </c>
      <c r="B1721" s="2" t="s">
        <v>1681</v>
      </c>
      <c r="C1721" s="36" t="s">
        <v>84</v>
      </c>
      <c r="D1721" s="17" t="s">
        <v>2066</v>
      </c>
      <c r="E1721" s="45"/>
      <c r="F1721" s="44"/>
    </row>
    <row r="1722" spans="1:6" x14ac:dyDescent="0.35">
      <c r="A1722" s="88">
        <v>45755</v>
      </c>
      <c r="B1722" s="2" t="s">
        <v>1768</v>
      </c>
      <c r="C1722" s="36" t="s">
        <v>2004</v>
      </c>
      <c r="D1722" s="17" t="s">
        <v>2008</v>
      </c>
      <c r="E1722" s="45">
        <v>3270.86</v>
      </c>
      <c r="F1722" s="44">
        <v>3925.0320000000002</v>
      </c>
    </row>
    <row r="1723" spans="1:6" x14ac:dyDescent="0.35">
      <c r="A1723" s="88">
        <v>45755</v>
      </c>
      <c r="B1723" s="2" t="s">
        <v>1766</v>
      </c>
      <c r="C1723" s="36" t="s">
        <v>84</v>
      </c>
      <c r="D1723" s="17" t="s">
        <v>2067</v>
      </c>
      <c r="E1723" s="45"/>
      <c r="F1723" s="44"/>
    </row>
    <row r="1724" spans="1:6" x14ac:dyDescent="0.35">
      <c r="A1724" s="88">
        <v>45755</v>
      </c>
      <c r="B1724" s="2" t="s">
        <v>1767</v>
      </c>
      <c r="C1724" s="36" t="s">
        <v>84</v>
      </c>
      <c r="D1724" s="17" t="s">
        <v>2068</v>
      </c>
      <c r="E1724" s="45">
        <v>237.6</v>
      </c>
      <c r="F1724" s="44">
        <v>285.12</v>
      </c>
    </row>
    <row r="1725" spans="1:6" x14ac:dyDescent="0.35">
      <c r="A1725" s="88">
        <v>45756</v>
      </c>
      <c r="B1725" s="2" t="s">
        <v>1769</v>
      </c>
      <c r="C1725" s="36" t="s">
        <v>84</v>
      </c>
      <c r="D1725" s="17" t="s">
        <v>1469</v>
      </c>
      <c r="E1725" s="45"/>
      <c r="F1725" s="44"/>
    </row>
    <row r="1726" spans="1:6" x14ac:dyDescent="0.35">
      <c r="A1726" s="88">
        <v>45756</v>
      </c>
      <c r="B1726" s="2" t="s">
        <v>1770</v>
      </c>
      <c r="C1726" s="36" t="s">
        <v>84</v>
      </c>
      <c r="D1726" s="17" t="s">
        <v>1469</v>
      </c>
      <c r="E1726" s="45"/>
      <c r="F1726" s="44"/>
    </row>
    <row r="1727" spans="1:6" x14ac:dyDescent="0.35">
      <c r="A1727" s="88">
        <v>45757</v>
      </c>
      <c r="B1727" s="2" t="s">
        <v>1771</v>
      </c>
      <c r="C1727" s="36" t="s">
        <v>84</v>
      </c>
      <c r="D1727" s="17" t="s">
        <v>2069</v>
      </c>
      <c r="E1727" s="45"/>
      <c r="F1727" s="44"/>
    </row>
    <row r="1728" spans="1:6" x14ac:dyDescent="0.35">
      <c r="A1728" s="88">
        <v>45757</v>
      </c>
      <c r="B1728" s="2" t="s">
        <v>1670</v>
      </c>
      <c r="C1728" s="36" t="s">
        <v>84</v>
      </c>
      <c r="D1728" s="17" t="s">
        <v>1469</v>
      </c>
      <c r="E1728" s="45"/>
      <c r="F1728" s="44"/>
    </row>
    <row r="1729" spans="1:6" x14ac:dyDescent="0.35">
      <c r="A1729" s="88">
        <v>45758</v>
      </c>
      <c r="B1729" s="2" t="s">
        <v>1702</v>
      </c>
      <c r="C1729" s="36" t="s">
        <v>84</v>
      </c>
      <c r="D1729" s="17" t="s">
        <v>1519</v>
      </c>
      <c r="E1729" s="45"/>
      <c r="F1729" s="44"/>
    </row>
    <row r="1730" spans="1:6" x14ac:dyDescent="0.35">
      <c r="A1730" s="88">
        <v>45758</v>
      </c>
      <c r="B1730" s="2" t="s">
        <v>1772</v>
      </c>
      <c r="C1730" s="36" t="s">
        <v>84</v>
      </c>
      <c r="D1730" s="17" t="s">
        <v>597</v>
      </c>
      <c r="E1730" s="45">
        <v>0</v>
      </c>
      <c r="F1730" s="44">
        <v>0</v>
      </c>
    </row>
    <row r="1731" spans="1:6" x14ac:dyDescent="0.35">
      <c r="A1731" s="88">
        <v>45761</v>
      </c>
      <c r="B1731" s="2" t="s">
        <v>1773</v>
      </c>
      <c r="C1731" s="36" t="s">
        <v>84</v>
      </c>
      <c r="D1731" s="17" t="s">
        <v>1116</v>
      </c>
      <c r="E1731" s="45"/>
      <c r="F1731" s="44"/>
    </row>
    <row r="1732" spans="1:6" x14ac:dyDescent="0.35">
      <c r="A1732" s="88">
        <v>45761</v>
      </c>
      <c r="B1732" s="2" t="s">
        <v>1254</v>
      </c>
      <c r="C1732" s="36" t="s">
        <v>84</v>
      </c>
      <c r="D1732" s="17" t="s">
        <v>2027</v>
      </c>
      <c r="E1732" s="45"/>
      <c r="F1732" s="44"/>
    </row>
    <row r="1733" spans="1:6" x14ac:dyDescent="0.35">
      <c r="A1733" s="88">
        <v>45761</v>
      </c>
      <c r="B1733" s="2" t="s">
        <v>1760</v>
      </c>
      <c r="C1733" s="36" t="s">
        <v>84</v>
      </c>
      <c r="D1733" s="17" t="s">
        <v>1609</v>
      </c>
      <c r="E1733" s="45"/>
      <c r="F1733" s="44"/>
    </row>
    <row r="1734" spans="1:6" x14ac:dyDescent="0.35">
      <c r="A1734" s="88">
        <v>45761</v>
      </c>
      <c r="B1734" s="2" t="s">
        <v>1712</v>
      </c>
      <c r="C1734" s="36" t="s">
        <v>84</v>
      </c>
      <c r="D1734" s="17" t="s">
        <v>1469</v>
      </c>
      <c r="E1734" s="45"/>
      <c r="F1734" s="44"/>
    </row>
    <row r="1735" spans="1:6" x14ac:dyDescent="0.35">
      <c r="A1735" s="88">
        <v>45761</v>
      </c>
      <c r="B1735" s="2" t="s">
        <v>1774</v>
      </c>
      <c r="C1735" s="36" t="s">
        <v>84</v>
      </c>
      <c r="D1735" s="17" t="s">
        <v>1565</v>
      </c>
      <c r="E1735" s="45"/>
      <c r="F1735" s="44"/>
    </row>
    <row r="1736" spans="1:6" x14ac:dyDescent="0.35">
      <c r="A1736" s="88">
        <v>45762</v>
      </c>
      <c r="B1736" s="2" t="s">
        <v>1760</v>
      </c>
      <c r="C1736" s="36" t="s">
        <v>84</v>
      </c>
      <c r="D1736" s="17" t="s">
        <v>1609</v>
      </c>
      <c r="E1736" s="45"/>
      <c r="F1736" s="44"/>
    </row>
    <row r="1737" spans="1:6" x14ac:dyDescent="0.35">
      <c r="A1737" s="88">
        <v>45764</v>
      </c>
      <c r="B1737" s="2" t="s">
        <v>683</v>
      </c>
      <c r="C1737" s="36" t="s">
        <v>84</v>
      </c>
      <c r="D1737" s="17" t="s">
        <v>1455</v>
      </c>
      <c r="E1737" s="45"/>
      <c r="F1737" s="44"/>
    </row>
    <row r="1738" spans="1:6" x14ac:dyDescent="0.35">
      <c r="A1738" s="88">
        <v>45764</v>
      </c>
      <c r="B1738" s="2" t="s">
        <v>1760</v>
      </c>
      <c r="C1738" s="36" t="s">
        <v>84</v>
      </c>
      <c r="D1738" s="17" t="s">
        <v>1609</v>
      </c>
      <c r="E1738" s="45"/>
      <c r="F1738" s="44"/>
    </row>
    <row r="1739" spans="1:6" x14ac:dyDescent="0.35">
      <c r="A1739" s="88">
        <v>45765</v>
      </c>
      <c r="B1739" s="2" t="s">
        <v>1775</v>
      </c>
      <c r="C1739" s="36" t="s">
        <v>84</v>
      </c>
      <c r="D1739" s="17" t="s">
        <v>1028</v>
      </c>
      <c r="E1739" s="45"/>
      <c r="F1739" s="44"/>
    </row>
    <row r="1740" spans="1:6" x14ac:dyDescent="0.35">
      <c r="A1740" s="88">
        <v>45770</v>
      </c>
      <c r="B1740" s="2" t="s">
        <v>1776</v>
      </c>
      <c r="C1740" s="36" t="s">
        <v>84</v>
      </c>
      <c r="D1740" s="17" t="s">
        <v>1099</v>
      </c>
      <c r="E1740" s="45">
        <v>0</v>
      </c>
      <c r="F1740" s="44">
        <v>0</v>
      </c>
    </row>
    <row r="1741" spans="1:6" x14ac:dyDescent="0.35">
      <c r="A1741" s="88">
        <v>45770</v>
      </c>
      <c r="B1741" s="2" t="s">
        <v>1777</v>
      </c>
      <c r="C1741" s="36" t="s">
        <v>84</v>
      </c>
      <c r="D1741" s="17" t="s">
        <v>1469</v>
      </c>
      <c r="E1741" s="45"/>
      <c r="F1741" s="44"/>
    </row>
    <row r="1742" spans="1:6" x14ac:dyDescent="0.35">
      <c r="A1742" s="88">
        <v>45771</v>
      </c>
      <c r="B1742" s="2" t="s">
        <v>1778</v>
      </c>
      <c r="C1742" s="36" t="s">
        <v>84</v>
      </c>
      <c r="D1742" s="17" t="s">
        <v>1469</v>
      </c>
      <c r="E1742" s="45"/>
      <c r="F1742" s="44"/>
    </row>
    <row r="1743" spans="1:6" x14ac:dyDescent="0.35">
      <c r="A1743" s="88">
        <v>45772</v>
      </c>
      <c r="B1743" s="2" t="s">
        <v>1702</v>
      </c>
      <c r="C1743" s="36" t="s">
        <v>84</v>
      </c>
      <c r="D1743" s="17" t="s">
        <v>1519</v>
      </c>
      <c r="E1743" s="45"/>
      <c r="F1743" s="44"/>
    </row>
    <row r="1744" spans="1:6" x14ac:dyDescent="0.35">
      <c r="A1744" s="88">
        <v>45772</v>
      </c>
      <c r="B1744" s="2" t="s">
        <v>1779</v>
      </c>
      <c r="C1744" s="36" t="s">
        <v>84</v>
      </c>
      <c r="D1744" s="17" t="s">
        <v>1099</v>
      </c>
      <c r="E1744" s="45"/>
      <c r="F1744" s="44"/>
    </row>
    <row r="1745" spans="1:6" x14ac:dyDescent="0.35">
      <c r="A1745" s="88">
        <v>45772</v>
      </c>
      <c r="B1745" s="2" t="s">
        <v>1780</v>
      </c>
      <c r="C1745" s="36" t="s">
        <v>84</v>
      </c>
      <c r="D1745" s="17" t="s">
        <v>1469</v>
      </c>
      <c r="E1745" s="45"/>
      <c r="F1745" s="44"/>
    </row>
    <row r="1746" spans="1:6" x14ac:dyDescent="0.35">
      <c r="A1746" s="88">
        <v>45776</v>
      </c>
      <c r="B1746" s="2" t="s">
        <v>1781</v>
      </c>
      <c r="C1746" s="36" t="s">
        <v>84</v>
      </c>
      <c r="D1746" s="17" t="s">
        <v>2070</v>
      </c>
      <c r="E1746" s="45">
        <v>237.6</v>
      </c>
      <c r="F1746" s="44">
        <v>285.12</v>
      </c>
    </row>
    <row r="1747" spans="1:6" x14ac:dyDescent="0.35">
      <c r="A1747" s="88">
        <v>45776</v>
      </c>
      <c r="B1747" s="2" t="s">
        <v>1782</v>
      </c>
      <c r="C1747" s="36" t="s">
        <v>84</v>
      </c>
      <c r="D1747" s="17" t="s">
        <v>2071</v>
      </c>
      <c r="E1747" s="45">
        <v>0</v>
      </c>
      <c r="F1747" s="44">
        <v>0</v>
      </c>
    </row>
    <row r="1748" spans="1:6" x14ac:dyDescent="0.35">
      <c r="A1748" s="88">
        <v>45783</v>
      </c>
      <c r="B1748" s="2" t="s">
        <v>1783</v>
      </c>
      <c r="C1748" s="36" t="s">
        <v>84</v>
      </c>
      <c r="D1748" s="17" t="s">
        <v>2072</v>
      </c>
      <c r="E1748" s="45">
        <v>135.43</v>
      </c>
      <c r="F1748" s="44">
        <v>162.51599999999999</v>
      </c>
    </row>
    <row r="1749" spans="1:6" x14ac:dyDescent="0.35">
      <c r="A1749" s="88">
        <v>45784</v>
      </c>
      <c r="B1749" s="2" t="s">
        <v>1784</v>
      </c>
      <c r="C1749" s="36" t="s">
        <v>594</v>
      </c>
      <c r="D1749" s="17" t="s">
        <v>2019</v>
      </c>
      <c r="E1749" s="45">
        <v>1535.43</v>
      </c>
      <c r="F1749" s="44">
        <v>1842.5160000000001</v>
      </c>
    </row>
    <row r="1750" spans="1:6" x14ac:dyDescent="0.35">
      <c r="A1750" s="88">
        <v>45789</v>
      </c>
      <c r="B1750" s="2" t="s">
        <v>1773</v>
      </c>
      <c r="C1750" s="36" t="s">
        <v>84</v>
      </c>
      <c r="D1750" s="17" t="s">
        <v>1116</v>
      </c>
      <c r="E1750" s="45">
        <v>0</v>
      </c>
      <c r="F1750" s="44">
        <v>0</v>
      </c>
    </row>
    <row r="1751" spans="1:6" x14ac:dyDescent="0.35">
      <c r="A1751" s="88">
        <v>45790</v>
      </c>
      <c r="B1751" s="2" t="s">
        <v>1785</v>
      </c>
      <c r="C1751" s="36" t="s">
        <v>84</v>
      </c>
      <c r="D1751" s="17" t="s">
        <v>2035</v>
      </c>
      <c r="E1751" s="45">
        <v>0</v>
      </c>
      <c r="F1751" s="44">
        <v>0</v>
      </c>
    </row>
    <row r="1752" spans="1:6" x14ac:dyDescent="0.35">
      <c r="A1752" s="88">
        <v>45790</v>
      </c>
      <c r="B1752" s="2" t="s">
        <v>1120</v>
      </c>
      <c r="C1752" s="36" t="s">
        <v>84</v>
      </c>
      <c r="D1752" s="17" t="s">
        <v>2073</v>
      </c>
      <c r="E1752" s="45">
        <v>0</v>
      </c>
      <c r="F1752" s="44">
        <v>0</v>
      </c>
    </row>
    <row r="1753" spans="1:6" x14ac:dyDescent="0.35">
      <c r="A1753" s="88">
        <v>45791</v>
      </c>
      <c r="B1753" s="2" t="s">
        <v>1786</v>
      </c>
      <c r="C1753" s="36" t="s">
        <v>84</v>
      </c>
      <c r="D1753" s="17" t="s">
        <v>1116</v>
      </c>
      <c r="E1753" s="45">
        <v>0</v>
      </c>
      <c r="F1753" s="44">
        <v>0</v>
      </c>
    </row>
    <row r="1754" spans="1:6" x14ac:dyDescent="0.35">
      <c r="A1754" s="88">
        <v>45791</v>
      </c>
      <c r="B1754" s="2" t="s">
        <v>1787</v>
      </c>
      <c r="C1754" s="36" t="s">
        <v>84</v>
      </c>
      <c r="D1754" s="17" t="s">
        <v>1457</v>
      </c>
      <c r="E1754" s="45">
        <v>0</v>
      </c>
      <c r="F1754" s="44">
        <v>0</v>
      </c>
    </row>
    <row r="1755" spans="1:6" x14ac:dyDescent="0.35">
      <c r="A1755" s="88">
        <v>45792</v>
      </c>
      <c r="B1755" s="2" t="s">
        <v>825</v>
      </c>
      <c r="C1755" s="36" t="s">
        <v>84</v>
      </c>
      <c r="D1755" s="17" t="s">
        <v>2049</v>
      </c>
      <c r="E1755" s="45">
        <v>0</v>
      </c>
      <c r="F1755" s="44">
        <v>0</v>
      </c>
    </row>
    <row r="1756" spans="1:6" x14ac:dyDescent="0.35">
      <c r="A1756" s="88">
        <v>45792</v>
      </c>
      <c r="B1756" s="2" t="s">
        <v>1788</v>
      </c>
      <c r="C1756" s="36" t="s">
        <v>84</v>
      </c>
      <c r="D1756" s="17" t="s">
        <v>1454</v>
      </c>
      <c r="E1756" s="45">
        <v>0</v>
      </c>
      <c r="F1756" s="44">
        <v>0</v>
      </c>
    </row>
    <row r="1757" spans="1:6" x14ac:dyDescent="0.35">
      <c r="A1757" s="88">
        <v>45792</v>
      </c>
      <c r="B1757" s="2" t="s">
        <v>1789</v>
      </c>
      <c r="C1757" s="36" t="s">
        <v>84</v>
      </c>
      <c r="D1757" s="17" t="s">
        <v>2074</v>
      </c>
      <c r="E1757" s="45">
        <v>0</v>
      </c>
      <c r="F1757" s="44">
        <v>0</v>
      </c>
    </row>
    <row r="1758" spans="1:6" x14ac:dyDescent="0.35">
      <c r="A1758" s="88">
        <v>45793</v>
      </c>
      <c r="B1758" s="2" t="s">
        <v>1790</v>
      </c>
      <c r="C1758" s="36" t="s">
        <v>84</v>
      </c>
      <c r="D1758" s="17" t="s">
        <v>2075</v>
      </c>
      <c r="E1758" s="45">
        <v>0</v>
      </c>
      <c r="F1758" s="44">
        <v>0</v>
      </c>
    </row>
    <row r="1759" spans="1:6" x14ac:dyDescent="0.35">
      <c r="A1759" s="88">
        <v>45796</v>
      </c>
      <c r="B1759" s="2" t="s">
        <v>1254</v>
      </c>
      <c r="C1759" s="36" t="s">
        <v>84</v>
      </c>
      <c r="D1759" s="17" t="s">
        <v>2027</v>
      </c>
      <c r="E1759" s="45"/>
      <c r="F1759" s="44"/>
    </row>
    <row r="1760" spans="1:6" x14ac:dyDescent="0.35">
      <c r="A1760" s="88">
        <v>45796</v>
      </c>
      <c r="B1760" s="2" t="s">
        <v>1791</v>
      </c>
      <c r="C1760" s="36" t="s">
        <v>84</v>
      </c>
      <c r="D1760" s="17" t="s">
        <v>2076</v>
      </c>
      <c r="E1760" s="45"/>
      <c r="F1760" s="44"/>
    </row>
    <row r="1761" spans="1:6" x14ac:dyDescent="0.35">
      <c r="A1761" s="88">
        <v>45796</v>
      </c>
      <c r="B1761" s="2" t="s">
        <v>1792</v>
      </c>
      <c r="C1761" s="36" t="s">
        <v>84</v>
      </c>
      <c r="D1761" s="17" t="s">
        <v>1454</v>
      </c>
      <c r="E1761" s="45"/>
      <c r="F1761" s="44"/>
    </row>
    <row r="1762" spans="1:6" x14ac:dyDescent="0.35">
      <c r="A1762" s="88">
        <v>45796</v>
      </c>
      <c r="B1762" s="2" t="s">
        <v>1793</v>
      </c>
      <c r="C1762" s="36" t="s">
        <v>84</v>
      </c>
      <c r="D1762" s="17" t="s">
        <v>2077</v>
      </c>
      <c r="E1762" s="45"/>
      <c r="F1762" s="44"/>
    </row>
    <row r="1763" spans="1:6" x14ac:dyDescent="0.35">
      <c r="A1763" s="88">
        <v>45797</v>
      </c>
      <c r="B1763" s="2" t="s">
        <v>547</v>
      </c>
      <c r="C1763" s="36" t="s">
        <v>84</v>
      </c>
      <c r="D1763" s="17" t="s">
        <v>1469</v>
      </c>
      <c r="E1763" s="45"/>
      <c r="F1763" s="44"/>
    </row>
    <row r="1764" spans="1:6" x14ac:dyDescent="0.35">
      <c r="A1764" s="88">
        <v>45797</v>
      </c>
      <c r="B1764" s="2" t="s">
        <v>1794</v>
      </c>
      <c r="C1764" s="36" t="s">
        <v>84</v>
      </c>
      <c r="D1764" s="17" t="s">
        <v>1116</v>
      </c>
      <c r="E1764" s="45"/>
      <c r="F1764" s="44"/>
    </row>
    <row r="1765" spans="1:6" x14ac:dyDescent="0.35">
      <c r="A1765" s="88">
        <v>45797</v>
      </c>
      <c r="B1765" s="2" t="s">
        <v>1795</v>
      </c>
      <c r="C1765" s="36" t="s">
        <v>84</v>
      </c>
      <c r="D1765" s="17" t="s">
        <v>1614</v>
      </c>
      <c r="E1765" s="45"/>
      <c r="F1765" s="44"/>
    </row>
    <row r="1766" spans="1:6" x14ac:dyDescent="0.35">
      <c r="A1766" s="88">
        <v>45798</v>
      </c>
      <c r="B1766" s="2" t="s">
        <v>1796</v>
      </c>
      <c r="C1766" s="36" t="s">
        <v>84</v>
      </c>
      <c r="D1766" s="17" t="s">
        <v>2067</v>
      </c>
      <c r="E1766" s="45"/>
      <c r="F1766" s="44"/>
    </row>
    <row r="1767" spans="1:6" x14ac:dyDescent="0.35">
      <c r="A1767" s="88">
        <v>45798</v>
      </c>
      <c r="B1767" s="2" t="s">
        <v>1797</v>
      </c>
      <c r="C1767" s="36" t="s">
        <v>84</v>
      </c>
      <c r="D1767" s="17" t="s">
        <v>2033</v>
      </c>
      <c r="E1767" s="45"/>
      <c r="F1767" s="44"/>
    </row>
    <row r="1768" spans="1:6" x14ac:dyDescent="0.35">
      <c r="A1768" s="88">
        <v>45798</v>
      </c>
      <c r="B1768" s="2" t="s">
        <v>1717</v>
      </c>
      <c r="C1768" s="36" t="s">
        <v>84</v>
      </c>
      <c r="D1768" s="17" t="s">
        <v>600</v>
      </c>
      <c r="E1768" s="45"/>
      <c r="F1768" s="44"/>
    </row>
    <row r="1769" spans="1:6" x14ac:dyDescent="0.35">
      <c r="A1769" s="88">
        <v>45799</v>
      </c>
      <c r="B1769" s="2" t="s">
        <v>566</v>
      </c>
      <c r="C1769" s="36" t="s">
        <v>84</v>
      </c>
      <c r="D1769" s="17" t="s">
        <v>1089</v>
      </c>
      <c r="E1769" s="45"/>
      <c r="F1769" s="44"/>
    </row>
    <row r="1770" spans="1:6" x14ac:dyDescent="0.35">
      <c r="A1770" s="88">
        <v>45799</v>
      </c>
      <c r="B1770" s="2" t="s">
        <v>1798</v>
      </c>
      <c r="C1770" s="36" t="s">
        <v>84</v>
      </c>
      <c r="D1770" s="17" t="s">
        <v>1565</v>
      </c>
      <c r="E1770" s="45"/>
      <c r="F1770" s="44"/>
    </row>
    <row r="1771" spans="1:6" x14ac:dyDescent="0.35">
      <c r="A1771" s="88">
        <v>45799</v>
      </c>
      <c r="B1771" s="2" t="s">
        <v>1799</v>
      </c>
      <c r="C1771" s="36" t="s">
        <v>84</v>
      </c>
      <c r="D1771" s="17" t="s">
        <v>1032</v>
      </c>
      <c r="E1771" s="45"/>
      <c r="F1771" s="44"/>
    </row>
    <row r="1772" spans="1:6" x14ac:dyDescent="0.35">
      <c r="A1772" s="88">
        <v>45799</v>
      </c>
      <c r="B1772" s="2" t="s">
        <v>1800</v>
      </c>
      <c r="C1772" s="36" t="s">
        <v>84</v>
      </c>
      <c r="D1772" s="17" t="s">
        <v>1469</v>
      </c>
      <c r="E1772" s="45"/>
      <c r="F1772" s="44"/>
    </row>
    <row r="1773" spans="1:6" x14ac:dyDescent="0.35">
      <c r="A1773" s="88">
        <v>45800</v>
      </c>
      <c r="B1773" s="2" t="s">
        <v>1801</v>
      </c>
      <c r="C1773" s="36" t="s">
        <v>84</v>
      </c>
      <c r="D1773" s="17" t="s">
        <v>2078</v>
      </c>
      <c r="E1773" s="45">
        <v>0</v>
      </c>
      <c r="F1773" s="44">
        <v>0</v>
      </c>
    </row>
    <row r="1774" spans="1:6" x14ac:dyDescent="0.35">
      <c r="A1774" s="88">
        <v>45801</v>
      </c>
      <c r="B1774" s="2" t="s">
        <v>1802</v>
      </c>
      <c r="C1774" s="36" t="s">
        <v>84</v>
      </c>
      <c r="D1774" s="17" t="s">
        <v>2079</v>
      </c>
      <c r="E1774" s="45">
        <v>594</v>
      </c>
      <c r="F1774" s="44">
        <v>712.8</v>
      </c>
    </row>
    <row r="1775" spans="1:6" x14ac:dyDescent="0.35">
      <c r="A1775" s="88">
        <v>45803</v>
      </c>
      <c r="B1775" s="2" t="s">
        <v>1681</v>
      </c>
      <c r="C1775" s="36" t="s">
        <v>84</v>
      </c>
      <c r="D1775" s="17" t="s">
        <v>1554</v>
      </c>
      <c r="E1775" s="45"/>
      <c r="F1775" s="44"/>
    </row>
    <row r="1776" spans="1:6" x14ac:dyDescent="0.35">
      <c r="A1776" s="88">
        <v>45804</v>
      </c>
      <c r="B1776" s="2" t="s">
        <v>1803</v>
      </c>
      <c r="C1776" s="36" t="s">
        <v>594</v>
      </c>
      <c r="D1776" s="17" t="s">
        <v>2020</v>
      </c>
      <c r="E1776" s="45">
        <v>4412.58</v>
      </c>
      <c r="F1776" s="44">
        <v>5295.0959999999995</v>
      </c>
    </row>
    <row r="1777" spans="1:6" x14ac:dyDescent="0.35">
      <c r="A1777" s="88">
        <v>45807</v>
      </c>
      <c r="B1777" s="2" t="s">
        <v>1804</v>
      </c>
      <c r="C1777" s="36" t="s">
        <v>84</v>
      </c>
      <c r="D1777" s="17" t="s">
        <v>1614</v>
      </c>
      <c r="E1777" s="45"/>
      <c r="F1777" s="44"/>
    </row>
    <row r="1778" spans="1:6" x14ac:dyDescent="0.35">
      <c r="A1778" s="88">
        <v>45810</v>
      </c>
      <c r="B1778" s="2" t="s">
        <v>1712</v>
      </c>
      <c r="C1778" s="36" t="s">
        <v>84</v>
      </c>
      <c r="D1778" s="17" t="s">
        <v>1469</v>
      </c>
      <c r="E1778" s="45"/>
      <c r="F1778" s="44"/>
    </row>
    <row r="1779" spans="1:6" x14ac:dyDescent="0.35">
      <c r="A1779" s="88">
        <v>45810</v>
      </c>
      <c r="B1779" s="2" t="s">
        <v>1805</v>
      </c>
      <c r="C1779" s="36" t="s">
        <v>84</v>
      </c>
      <c r="D1779" s="17" t="s">
        <v>1108</v>
      </c>
      <c r="E1779" s="45"/>
      <c r="F1779" s="44"/>
    </row>
    <row r="1780" spans="1:6" x14ac:dyDescent="0.35">
      <c r="A1780" s="88">
        <v>45811</v>
      </c>
      <c r="B1780" s="2" t="s">
        <v>1806</v>
      </c>
      <c r="C1780" s="36" t="s">
        <v>229</v>
      </c>
      <c r="D1780" s="17" t="s">
        <v>1521</v>
      </c>
      <c r="E1780" s="45">
        <v>8035.43</v>
      </c>
      <c r="F1780" s="44">
        <v>9642.5159999999996</v>
      </c>
    </row>
    <row r="1781" spans="1:6" x14ac:dyDescent="0.35">
      <c r="A1781" s="88">
        <v>45811</v>
      </c>
      <c r="B1781" s="2" t="s">
        <v>1807</v>
      </c>
      <c r="C1781" s="36" t="s">
        <v>84</v>
      </c>
      <c r="D1781" s="17" t="s">
        <v>2066</v>
      </c>
      <c r="E1781" s="45"/>
      <c r="F1781" s="44"/>
    </row>
    <row r="1782" spans="1:6" x14ac:dyDescent="0.35">
      <c r="A1782" s="88">
        <v>45812</v>
      </c>
      <c r="B1782" s="2" t="s">
        <v>1808</v>
      </c>
      <c r="C1782" s="36" t="s">
        <v>84</v>
      </c>
      <c r="D1782" s="17" t="s">
        <v>2080</v>
      </c>
      <c r="E1782" s="45"/>
      <c r="F1782" s="44"/>
    </row>
    <row r="1783" spans="1:6" x14ac:dyDescent="0.35">
      <c r="A1783" s="88">
        <v>45812</v>
      </c>
      <c r="B1783" s="2" t="s">
        <v>1809</v>
      </c>
      <c r="C1783" s="36" t="s">
        <v>84</v>
      </c>
      <c r="D1783" s="17" t="s">
        <v>1454</v>
      </c>
      <c r="E1783" s="45"/>
      <c r="F1783" s="44"/>
    </row>
    <row r="1784" spans="1:6" x14ac:dyDescent="0.35">
      <c r="A1784" s="88">
        <v>45813</v>
      </c>
      <c r="B1784" s="2" t="s">
        <v>1811</v>
      </c>
      <c r="C1784" s="36" t="s">
        <v>2004</v>
      </c>
      <c r="D1784" s="17" t="s">
        <v>2009</v>
      </c>
      <c r="E1784" s="45">
        <v>9050.18</v>
      </c>
      <c r="F1784" s="44">
        <v>10860.216</v>
      </c>
    </row>
    <row r="1785" spans="1:6" x14ac:dyDescent="0.35">
      <c r="A1785" s="88">
        <v>45813</v>
      </c>
      <c r="B1785" s="2" t="s">
        <v>1810</v>
      </c>
      <c r="C1785" s="36" t="s">
        <v>84</v>
      </c>
      <c r="D1785" s="17" t="s">
        <v>2033</v>
      </c>
      <c r="E1785" s="45"/>
      <c r="F1785" s="44"/>
    </row>
    <row r="1786" spans="1:6" x14ac:dyDescent="0.35">
      <c r="A1786" s="88">
        <v>45813</v>
      </c>
      <c r="B1786" s="2" t="s">
        <v>1778</v>
      </c>
      <c r="C1786" s="36" t="s">
        <v>84</v>
      </c>
      <c r="D1786" s="17" t="s">
        <v>1469</v>
      </c>
      <c r="E1786" s="45"/>
      <c r="F1786" s="44"/>
    </row>
    <row r="1787" spans="1:6" x14ac:dyDescent="0.35">
      <c r="A1787" s="88">
        <v>45814</v>
      </c>
      <c r="B1787" s="2" t="s">
        <v>1348</v>
      </c>
      <c r="C1787" s="36" t="s">
        <v>84</v>
      </c>
      <c r="D1787" s="17" t="s">
        <v>1109</v>
      </c>
      <c r="E1787" s="45"/>
      <c r="F1787" s="44"/>
    </row>
    <row r="1788" spans="1:6" x14ac:dyDescent="0.35">
      <c r="A1788" s="88">
        <v>45817</v>
      </c>
      <c r="B1788" s="2" t="s">
        <v>1712</v>
      </c>
      <c r="C1788" s="36" t="s">
        <v>84</v>
      </c>
      <c r="D1788" s="17" t="s">
        <v>1469</v>
      </c>
      <c r="E1788" s="45"/>
      <c r="F1788" s="44"/>
    </row>
    <row r="1789" spans="1:6" x14ac:dyDescent="0.35">
      <c r="A1789" s="88">
        <v>45817</v>
      </c>
      <c r="B1789" s="2" t="s">
        <v>1254</v>
      </c>
      <c r="C1789" s="36" t="s">
        <v>84</v>
      </c>
      <c r="D1789" s="17" t="s">
        <v>2027</v>
      </c>
      <c r="E1789" s="45"/>
      <c r="F1789" s="44"/>
    </row>
    <row r="1790" spans="1:6" x14ac:dyDescent="0.35">
      <c r="A1790" s="88">
        <v>45818</v>
      </c>
      <c r="B1790" s="2" t="s">
        <v>1812</v>
      </c>
      <c r="C1790" s="36" t="s">
        <v>84</v>
      </c>
      <c r="D1790" s="17" t="s">
        <v>2081</v>
      </c>
      <c r="E1790" s="45"/>
      <c r="F1790" s="44"/>
    </row>
    <row r="1791" spans="1:6" x14ac:dyDescent="0.35">
      <c r="A1791" s="88">
        <v>45818</v>
      </c>
      <c r="B1791" s="2" t="s">
        <v>1813</v>
      </c>
      <c r="C1791" s="36" t="s">
        <v>84</v>
      </c>
      <c r="D1791" s="17" t="s">
        <v>1565</v>
      </c>
      <c r="E1791" s="45"/>
      <c r="F1791" s="44"/>
    </row>
    <row r="1792" spans="1:6" x14ac:dyDescent="0.35">
      <c r="A1792" s="88">
        <v>45818</v>
      </c>
      <c r="B1792" s="2" t="s">
        <v>1814</v>
      </c>
      <c r="C1792" s="36" t="s">
        <v>84</v>
      </c>
      <c r="D1792" s="17" t="s">
        <v>1079</v>
      </c>
      <c r="E1792" s="45"/>
      <c r="F1792" s="44"/>
    </row>
    <row r="1793" spans="1:6" x14ac:dyDescent="0.35">
      <c r="A1793" s="88">
        <v>45819</v>
      </c>
      <c r="B1793" s="2" t="s">
        <v>1815</v>
      </c>
      <c r="C1793" s="36" t="s">
        <v>84</v>
      </c>
      <c r="D1793" s="17" t="s">
        <v>600</v>
      </c>
      <c r="E1793" s="45"/>
      <c r="F1793" s="44"/>
    </row>
    <row r="1794" spans="1:6" x14ac:dyDescent="0.35">
      <c r="A1794" s="88">
        <v>45820</v>
      </c>
      <c r="B1794" s="2" t="s">
        <v>1816</v>
      </c>
      <c r="C1794" s="36" t="s">
        <v>84</v>
      </c>
      <c r="D1794" s="17" t="s">
        <v>1558</v>
      </c>
      <c r="E1794" s="45"/>
      <c r="F1794" s="44"/>
    </row>
    <row r="1795" spans="1:6" x14ac:dyDescent="0.35">
      <c r="A1795" s="88">
        <v>45820</v>
      </c>
      <c r="B1795" s="2" t="s">
        <v>1778</v>
      </c>
      <c r="C1795" s="36" t="s">
        <v>84</v>
      </c>
      <c r="D1795" s="17" t="s">
        <v>1469</v>
      </c>
      <c r="E1795" s="45"/>
      <c r="F1795" s="44"/>
    </row>
    <row r="1796" spans="1:6" x14ac:dyDescent="0.35">
      <c r="A1796" s="88">
        <v>45820</v>
      </c>
      <c r="B1796" s="2" t="s">
        <v>1298</v>
      </c>
      <c r="C1796" s="36" t="s">
        <v>84</v>
      </c>
      <c r="D1796" s="17" t="s">
        <v>1546</v>
      </c>
      <c r="E1796" s="45">
        <v>361.14</v>
      </c>
      <c r="F1796" s="44">
        <v>433.36799999999999</v>
      </c>
    </row>
    <row r="1797" spans="1:6" x14ac:dyDescent="0.35">
      <c r="A1797" s="88">
        <v>45821</v>
      </c>
      <c r="B1797" s="2" t="s">
        <v>1817</v>
      </c>
      <c r="C1797" s="36" t="s">
        <v>594</v>
      </c>
      <c r="D1797" s="17" t="s">
        <v>2021</v>
      </c>
      <c r="E1797" s="45">
        <v>2192</v>
      </c>
      <c r="F1797" s="44">
        <v>2630.4</v>
      </c>
    </row>
    <row r="1798" spans="1:6" x14ac:dyDescent="0.35">
      <c r="A1798" s="88">
        <v>45821</v>
      </c>
      <c r="B1798" s="2" t="s">
        <v>1818</v>
      </c>
      <c r="C1798" s="36" t="s">
        <v>84</v>
      </c>
      <c r="D1798" s="17" t="s">
        <v>1596</v>
      </c>
      <c r="E1798" s="45"/>
      <c r="F1798" s="44"/>
    </row>
    <row r="1799" spans="1:6" x14ac:dyDescent="0.35">
      <c r="A1799" s="88">
        <v>45824</v>
      </c>
      <c r="B1799" s="2" t="s">
        <v>1254</v>
      </c>
      <c r="C1799" s="36" t="s">
        <v>84</v>
      </c>
      <c r="D1799" s="17" t="s">
        <v>2027</v>
      </c>
      <c r="E1799" s="45"/>
      <c r="F1799" s="44"/>
    </row>
    <row r="1800" spans="1:6" x14ac:dyDescent="0.35">
      <c r="A1800" s="88">
        <v>45824</v>
      </c>
      <c r="B1800" s="2" t="s">
        <v>1819</v>
      </c>
      <c r="C1800" s="36" t="s">
        <v>84</v>
      </c>
      <c r="D1800" s="17" t="s">
        <v>2082</v>
      </c>
      <c r="E1800" s="45"/>
      <c r="F1800" s="44"/>
    </row>
    <row r="1801" spans="1:6" x14ac:dyDescent="0.35">
      <c r="A1801" s="88">
        <v>45824</v>
      </c>
      <c r="B1801" s="2" t="s">
        <v>1820</v>
      </c>
      <c r="C1801" s="36" t="s">
        <v>84</v>
      </c>
      <c r="D1801" s="17" t="s">
        <v>1614</v>
      </c>
      <c r="E1801" s="45"/>
      <c r="F1801" s="44"/>
    </row>
    <row r="1802" spans="1:6" x14ac:dyDescent="0.35">
      <c r="A1802" s="88">
        <v>45824</v>
      </c>
      <c r="B1802" s="2" t="s">
        <v>1821</v>
      </c>
      <c r="C1802" s="36" t="s">
        <v>84</v>
      </c>
      <c r="D1802" s="17" t="s">
        <v>2083</v>
      </c>
      <c r="E1802" s="45"/>
      <c r="F1802" s="44"/>
    </row>
    <row r="1803" spans="1:6" x14ac:dyDescent="0.35">
      <c r="A1803" s="88">
        <v>45824</v>
      </c>
      <c r="B1803" s="2" t="s">
        <v>1416</v>
      </c>
      <c r="C1803" s="36" t="s">
        <v>84</v>
      </c>
      <c r="D1803" s="17" t="s">
        <v>1454</v>
      </c>
      <c r="E1803" s="45"/>
      <c r="F1803" s="44"/>
    </row>
    <row r="1804" spans="1:6" x14ac:dyDescent="0.35">
      <c r="A1804" s="88">
        <v>45824</v>
      </c>
      <c r="B1804" s="2" t="s">
        <v>1673</v>
      </c>
      <c r="C1804" s="36" t="s">
        <v>84</v>
      </c>
      <c r="D1804" s="17" t="s">
        <v>2029</v>
      </c>
      <c r="E1804" s="45">
        <v>237.6</v>
      </c>
      <c r="F1804" s="44">
        <v>285.12</v>
      </c>
    </row>
    <row r="1805" spans="1:6" x14ac:dyDescent="0.35">
      <c r="A1805" s="88">
        <v>45825</v>
      </c>
      <c r="B1805" s="2" t="s">
        <v>1822</v>
      </c>
      <c r="C1805" s="36" t="s">
        <v>84</v>
      </c>
      <c r="D1805" s="17" t="s">
        <v>1558</v>
      </c>
      <c r="E1805" s="45"/>
      <c r="F1805" s="44"/>
    </row>
    <row r="1806" spans="1:6" x14ac:dyDescent="0.35">
      <c r="A1806" s="88">
        <v>45825</v>
      </c>
      <c r="B1806" s="2" t="s">
        <v>1823</v>
      </c>
      <c r="C1806" s="36" t="s">
        <v>84</v>
      </c>
      <c r="D1806" s="17" t="s">
        <v>1614</v>
      </c>
      <c r="E1806" s="45"/>
      <c r="F1806" s="44"/>
    </row>
    <row r="1807" spans="1:6" x14ac:dyDescent="0.35">
      <c r="A1807" s="88">
        <v>45825</v>
      </c>
      <c r="B1807" s="2" t="s">
        <v>1821</v>
      </c>
      <c r="C1807" s="36" t="s">
        <v>84</v>
      </c>
      <c r="D1807" s="17" t="s">
        <v>2083</v>
      </c>
      <c r="E1807" s="45"/>
      <c r="F1807" s="44"/>
    </row>
    <row r="1808" spans="1:6" x14ac:dyDescent="0.35">
      <c r="A1808" s="88">
        <v>45826</v>
      </c>
      <c r="B1808" s="2" t="s">
        <v>1824</v>
      </c>
      <c r="C1808" s="36" t="s">
        <v>84</v>
      </c>
      <c r="D1808" s="17" t="s">
        <v>2084</v>
      </c>
      <c r="E1808" s="45"/>
      <c r="F1808" s="44"/>
    </row>
    <row r="1809" spans="1:6" x14ac:dyDescent="0.35">
      <c r="A1809" s="88">
        <v>45826</v>
      </c>
      <c r="B1809" s="2" t="s">
        <v>1273</v>
      </c>
      <c r="C1809" s="36" t="s">
        <v>84</v>
      </c>
      <c r="D1809" s="17" t="s">
        <v>2065</v>
      </c>
      <c r="E1809" s="45">
        <v>0</v>
      </c>
      <c r="F1809" s="44">
        <v>0</v>
      </c>
    </row>
    <row r="1810" spans="1:6" x14ac:dyDescent="0.35">
      <c r="A1810" s="88">
        <v>45826</v>
      </c>
      <c r="B1810" s="2" t="s">
        <v>1825</v>
      </c>
      <c r="C1810" s="36" t="s">
        <v>84</v>
      </c>
      <c r="D1810" s="17" t="s">
        <v>1558</v>
      </c>
      <c r="E1810" s="45"/>
      <c r="F1810" s="44"/>
    </row>
    <row r="1811" spans="1:6" x14ac:dyDescent="0.35">
      <c r="A1811" s="88">
        <v>45827</v>
      </c>
      <c r="B1811" s="2" t="s">
        <v>1413</v>
      </c>
      <c r="C1811" s="36" t="s">
        <v>84</v>
      </c>
      <c r="D1811" s="17" t="s">
        <v>2085</v>
      </c>
      <c r="E1811" s="45"/>
      <c r="F1811" s="44"/>
    </row>
    <row r="1812" spans="1:6" x14ac:dyDescent="0.35">
      <c r="A1812" s="88">
        <v>45827</v>
      </c>
      <c r="B1812" s="2" t="s">
        <v>1826</v>
      </c>
      <c r="C1812" s="36" t="s">
        <v>84</v>
      </c>
      <c r="D1812" s="17" t="s">
        <v>2086</v>
      </c>
      <c r="E1812" s="45"/>
      <c r="F1812" s="44"/>
    </row>
    <row r="1813" spans="1:6" x14ac:dyDescent="0.35">
      <c r="A1813" s="88">
        <v>45827</v>
      </c>
      <c r="B1813" s="2" t="s">
        <v>148</v>
      </c>
      <c r="C1813" s="36" t="s">
        <v>84</v>
      </c>
      <c r="D1813" s="17" t="s">
        <v>1455</v>
      </c>
      <c r="E1813" s="45"/>
      <c r="F1813" s="44"/>
    </row>
    <row r="1814" spans="1:6" x14ac:dyDescent="0.35">
      <c r="A1814" s="88">
        <v>45827</v>
      </c>
      <c r="B1814" s="2" t="s">
        <v>1827</v>
      </c>
      <c r="C1814" s="36" t="s">
        <v>84</v>
      </c>
      <c r="D1814" s="17" t="s">
        <v>2087</v>
      </c>
      <c r="E1814" s="45"/>
      <c r="F1814" s="44"/>
    </row>
    <row r="1815" spans="1:6" x14ac:dyDescent="0.35">
      <c r="A1815" s="88">
        <v>45827</v>
      </c>
      <c r="B1815" s="2" t="s">
        <v>1828</v>
      </c>
      <c r="C1815" s="36" t="s">
        <v>84</v>
      </c>
      <c r="D1815" s="17" t="s">
        <v>2088</v>
      </c>
      <c r="E1815" s="45"/>
      <c r="F1815" s="44"/>
    </row>
    <row r="1816" spans="1:6" x14ac:dyDescent="0.35">
      <c r="A1816" s="88">
        <v>45827</v>
      </c>
      <c r="B1816" s="2" t="s">
        <v>1778</v>
      </c>
      <c r="C1816" s="36" t="s">
        <v>84</v>
      </c>
      <c r="D1816" s="17" t="s">
        <v>1469</v>
      </c>
      <c r="E1816" s="45"/>
      <c r="F1816" s="44"/>
    </row>
    <row r="1817" spans="1:6" x14ac:dyDescent="0.35">
      <c r="A1817" s="88">
        <v>45827</v>
      </c>
      <c r="B1817" s="2" t="s">
        <v>1821</v>
      </c>
      <c r="C1817" s="36" t="s">
        <v>84</v>
      </c>
      <c r="D1817" s="17" t="s">
        <v>2083</v>
      </c>
      <c r="E1817" s="45"/>
      <c r="F1817" s="44"/>
    </row>
    <row r="1818" spans="1:6" x14ac:dyDescent="0.35">
      <c r="A1818" s="88">
        <v>45827</v>
      </c>
      <c r="B1818" s="2" t="s">
        <v>1829</v>
      </c>
      <c r="C1818" s="36" t="s">
        <v>84</v>
      </c>
      <c r="D1818" s="17" t="s">
        <v>2084</v>
      </c>
      <c r="E1818" s="45"/>
      <c r="F1818" s="44"/>
    </row>
    <row r="1819" spans="1:6" x14ac:dyDescent="0.35">
      <c r="A1819" s="88">
        <v>45828</v>
      </c>
      <c r="B1819" s="2" t="s">
        <v>1830</v>
      </c>
      <c r="C1819" s="36" t="s">
        <v>84</v>
      </c>
      <c r="D1819" s="17" t="s">
        <v>1609</v>
      </c>
      <c r="E1819" s="45"/>
      <c r="F1819" s="44"/>
    </row>
    <row r="1820" spans="1:6" x14ac:dyDescent="0.35">
      <c r="A1820" s="88">
        <v>45828</v>
      </c>
      <c r="B1820" s="2" t="s">
        <v>1831</v>
      </c>
      <c r="C1820" s="36" t="s">
        <v>84</v>
      </c>
      <c r="D1820" s="17" t="s">
        <v>1109</v>
      </c>
      <c r="E1820" s="45"/>
      <c r="F1820" s="44"/>
    </row>
    <row r="1821" spans="1:6" x14ac:dyDescent="0.35">
      <c r="A1821" s="88">
        <v>45828</v>
      </c>
      <c r="B1821" s="2" t="s">
        <v>1832</v>
      </c>
      <c r="C1821" s="36" t="s">
        <v>84</v>
      </c>
      <c r="D1821" s="17" t="s">
        <v>1615</v>
      </c>
      <c r="E1821" s="45"/>
      <c r="F1821" s="44"/>
    </row>
    <row r="1822" spans="1:6" x14ac:dyDescent="0.35">
      <c r="A1822" s="88">
        <v>45828</v>
      </c>
      <c r="B1822" s="2" t="s">
        <v>1833</v>
      </c>
      <c r="C1822" s="36" t="s">
        <v>84</v>
      </c>
      <c r="D1822" s="17" t="s">
        <v>1497</v>
      </c>
      <c r="E1822" s="45"/>
      <c r="F1822" s="44"/>
    </row>
    <row r="1823" spans="1:6" x14ac:dyDescent="0.35">
      <c r="A1823" s="88">
        <v>45828</v>
      </c>
      <c r="B1823" s="2" t="s">
        <v>1834</v>
      </c>
      <c r="C1823" s="36" t="s">
        <v>84</v>
      </c>
      <c r="D1823" s="17" t="s">
        <v>1469</v>
      </c>
      <c r="E1823" s="45"/>
      <c r="F1823" s="44"/>
    </row>
    <row r="1824" spans="1:6" x14ac:dyDescent="0.35">
      <c r="A1824" s="88">
        <v>45828</v>
      </c>
      <c r="B1824" s="2" t="s">
        <v>1835</v>
      </c>
      <c r="C1824" s="36" t="s">
        <v>84</v>
      </c>
      <c r="D1824" s="17" t="s">
        <v>1565</v>
      </c>
      <c r="E1824" s="45"/>
      <c r="F1824" s="44"/>
    </row>
    <row r="1825" spans="1:6" x14ac:dyDescent="0.35">
      <c r="A1825" s="88">
        <v>45831</v>
      </c>
      <c r="B1825" s="2" t="s">
        <v>1836</v>
      </c>
      <c r="C1825" s="36" t="s">
        <v>84</v>
      </c>
      <c r="D1825" s="17" t="s">
        <v>2083</v>
      </c>
      <c r="E1825" s="45"/>
      <c r="F1825" s="44"/>
    </row>
    <row r="1826" spans="1:6" x14ac:dyDescent="0.35">
      <c r="A1826" s="88">
        <v>45831</v>
      </c>
      <c r="B1826" s="2" t="s">
        <v>1712</v>
      </c>
      <c r="C1826" s="36" t="s">
        <v>84</v>
      </c>
      <c r="D1826" s="17" t="s">
        <v>1469</v>
      </c>
      <c r="E1826" s="45"/>
      <c r="F1826" s="44"/>
    </row>
    <row r="1827" spans="1:6" x14ac:dyDescent="0.35">
      <c r="A1827" s="88">
        <v>45831</v>
      </c>
      <c r="B1827" s="2" t="s">
        <v>1837</v>
      </c>
      <c r="C1827" s="36" t="s">
        <v>84</v>
      </c>
      <c r="D1827" s="17" t="s">
        <v>1087</v>
      </c>
      <c r="E1827" s="45"/>
      <c r="F1827" s="44"/>
    </row>
    <row r="1828" spans="1:6" x14ac:dyDescent="0.35">
      <c r="A1828" s="88">
        <v>45831</v>
      </c>
      <c r="B1828" s="2" t="s">
        <v>1254</v>
      </c>
      <c r="C1828" s="36" t="s">
        <v>84</v>
      </c>
      <c r="D1828" s="17" t="s">
        <v>2027</v>
      </c>
      <c r="E1828" s="45"/>
      <c r="F1828" s="44"/>
    </row>
    <row r="1829" spans="1:6" x14ac:dyDescent="0.35">
      <c r="A1829" s="88">
        <v>45831</v>
      </c>
      <c r="B1829" s="2" t="s">
        <v>1838</v>
      </c>
      <c r="C1829" s="36" t="s">
        <v>84</v>
      </c>
      <c r="D1829" s="17" t="s">
        <v>1109</v>
      </c>
      <c r="E1829" s="45"/>
      <c r="F1829" s="44"/>
    </row>
    <row r="1830" spans="1:6" x14ac:dyDescent="0.35">
      <c r="A1830" s="88">
        <v>45832</v>
      </c>
      <c r="B1830" s="2" t="s">
        <v>1839</v>
      </c>
      <c r="C1830" s="36" t="s">
        <v>84</v>
      </c>
      <c r="D1830" s="17" t="s">
        <v>1565</v>
      </c>
      <c r="E1830" s="45"/>
      <c r="F1830" s="44"/>
    </row>
    <row r="1831" spans="1:6" x14ac:dyDescent="0.35">
      <c r="A1831" s="88">
        <v>45832</v>
      </c>
      <c r="B1831" s="2" t="s">
        <v>1840</v>
      </c>
      <c r="C1831" s="36" t="s">
        <v>84</v>
      </c>
      <c r="D1831" s="17" t="s">
        <v>1454</v>
      </c>
      <c r="E1831" s="45"/>
      <c r="F1831" s="44"/>
    </row>
    <row r="1832" spans="1:6" x14ac:dyDescent="0.35">
      <c r="A1832" s="88">
        <v>45832</v>
      </c>
      <c r="B1832" s="2" t="s">
        <v>1841</v>
      </c>
      <c r="C1832" s="36" t="s">
        <v>84</v>
      </c>
      <c r="D1832" s="17" t="s">
        <v>596</v>
      </c>
      <c r="E1832" s="45"/>
      <c r="F1832" s="44"/>
    </row>
    <row r="1833" spans="1:6" x14ac:dyDescent="0.35">
      <c r="A1833" s="88">
        <v>45833</v>
      </c>
      <c r="B1833" s="2" t="s">
        <v>1842</v>
      </c>
      <c r="C1833" s="36" t="s">
        <v>84</v>
      </c>
      <c r="D1833" s="17" t="s">
        <v>2089</v>
      </c>
      <c r="E1833" s="45"/>
      <c r="F1833" s="44"/>
    </row>
    <row r="1834" spans="1:6" x14ac:dyDescent="0.35">
      <c r="A1834" s="88">
        <v>45833</v>
      </c>
      <c r="B1834" s="2" t="s">
        <v>1843</v>
      </c>
      <c r="C1834" s="36" t="s">
        <v>84</v>
      </c>
      <c r="D1834" s="17" t="s">
        <v>1459</v>
      </c>
      <c r="E1834" s="45">
        <v>79.2</v>
      </c>
      <c r="F1834" s="44">
        <v>95.04</v>
      </c>
    </row>
    <row r="1835" spans="1:6" x14ac:dyDescent="0.35">
      <c r="A1835" s="88">
        <v>45833</v>
      </c>
      <c r="B1835" s="2" t="s">
        <v>1844</v>
      </c>
      <c r="C1835" s="36" t="s">
        <v>84</v>
      </c>
      <c r="D1835" s="17" t="s">
        <v>1558</v>
      </c>
      <c r="E1835" s="45"/>
      <c r="F1835" s="44"/>
    </row>
    <row r="1836" spans="1:6" x14ac:dyDescent="0.35">
      <c r="A1836" s="88">
        <v>45834</v>
      </c>
      <c r="B1836" s="2" t="s">
        <v>1845</v>
      </c>
      <c r="C1836" s="36" t="s">
        <v>84</v>
      </c>
      <c r="D1836" s="17" t="s">
        <v>1614</v>
      </c>
      <c r="E1836" s="45"/>
      <c r="F1836" s="44"/>
    </row>
    <row r="1837" spans="1:6" x14ac:dyDescent="0.35">
      <c r="A1837" s="88">
        <v>45834</v>
      </c>
      <c r="B1837" s="2" t="s">
        <v>1846</v>
      </c>
      <c r="C1837" s="36" t="s">
        <v>84</v>
      </c>
      <c r="D1837" s="17" t="s">
        <v>2090</v>
      </c>
      <c r="E1837" s="45"/>
      <c r="F1837" s="44"/>
    </row>
    <row r="1838" spans="1:6" x14ac:dyDescent="0.35">
      <c r="A1838" s="88">
        <v>45834</v>
      </c>
      <c r="B1838" s="2" t="s">
        <v>1847</v>
      </c>
      <c r="C1838" s="36" t="s">
        <v>84</v>
      </c>
      <c r="D1838" s="17" t="s">
        <v>2091</v>
      </c>
      <c r="E1838" s="45"/>
      <c r="F1838" s="44"/>
    </row>
    <row r="1839" spans="1:6" x14ac:dyDescent="0.35">
      <c r="A1839" s="88">
        <v>45834</v>
      </c>
      <c r="B1839" s="2" t="s">
        <v>1778</v>
      </c>
      <c r="C1839" s="36" t="s">
        <v>84</v>
      </c>
      <c r="D1839" s="17" t="s">
        <v>1469</v>
      </c>
      <c r="E1839" s="45"/>
      <c r="F1839" s="44"/>
    </row>
    <row r="1840" spans="1:6" x14ac:dyDescent="0.35">
      <c r="A1840" s="88">
        <v>45834</v>
      </c>
      <c r="B1840" s="2" t="s">
        <v>1848</v>
      </c>
      <c r="C1840" s="36" t="s">
        <v>84</v>
      </c>
      <c r="D1840" s="17" t="s">
        <v>1585</v>
      </c>
      <c r="E1840" s="45"/>
      <c r="F1840" s="44"/>
    </row>
    <row r="1841" spans="1:6" x14ac:dyDescent="0.35">
      <c r="A1841" s="88">
        <v>45835</v>
      </c>
      <c r="B1841" s="2" t="s">
        <v>1849</v>
      </c>
      <c r="C1841" s="36" t="s">
        <v>84</v>
      </c>
      <c r="D1841" s="17" t="s">
        <v>2092</v>
      </c>
      <c r="E1841" s="45">
        <v>135.43</v>
      </c>
      <c r="F1841" s="44">
        <v>162.51599999999999</v>
      </c>
    </row>
    <row r="1842" spans="1:6" x14ac:dyDescent="0.35">
      <c r="A1842" s="88">
        <v>45835</v>
      </c>
      <c r="B1842" s="2" t="s">
        <v>1779</v>
      </c>
      <c r="C1842" s="36" t="s">
        <v>84</v>
      </c>
      <c r="D1842" s="17" t="s">
        <v>1099</v>
      </c>
      <c r="E1842" s="45"/>
      <c r="F1842" s="44"/>
    </row>
    <row r="1843" spans="1:6" x14ac:dyDescent="0.35">
      <c r="A1843" s="88">
        <v>45835</v>
      </c>
      <c r="B1843" s="2" t="s">
        <v>1841</v>
      </c>
      <c r="C1843" s="36" t="s">
        <v>84</v>
      </c>
      <c r="D1843" s="17" t="s">
        <v>596</v>
      </c>
      <c r="E1843" s="45"/>
      <c r="F1843" s="44"/>
    </row>
    <row r="1844" spans="1:6" x14ac:dyDescent="0.35">
      <c r="A1844" s="88">
        <v>45838</v>
      </c>
      <c r="B1844" s="2" t="s">
        <v>1850</v>
      </c>
      <c r="C1844" s="36" t="s">
        <v>84</v>
      </c>
      <c r="D1844" s="17" t="s">
        <v>1099</v>
      </c>
      <c r="E1844" s="45"/>
      <c r="F1844" s="44"/>
    </row>
    <row r="1845" spans="1:6" x14ac:dyDescent="0.35">
      <c r="A1845" s="88">
        <v>45838</v>
      </c>
      <c r="B1845" s="2" t="s">
        <v>1712</v>
      </c>
      <c r="C1845" s="36" t="s">
        <v>84</v>
      </c>
      <c r="D1845" s="17" t="s">
        <v>1469</v>
      </c>
      <c r="E1845" s="45"/>
      <c r="F1845" s="44"/>
    </row>
    <row r="1846" spans="1:6" x14ac:dyDescent="0.35">
      <c r="A1846" s="88">
        <v>45838</v>
      </c>
      <c r="B1846" s="2" t="s">
        <v>1254</v>
      </c>
      <c r="C1846" s="36" t="s">
        <v>84</v>
      </c>
      <c r="D1846" s="17" t="s">
        <v>2027</v>
      </c>
      <c r="E1846" s="45"/>
      <c r="F1846" s="44"/>
    </row>
    <row r="1847" spans="1:6" x14ac:dyDescent="0.35">
      <c r="A1847" s="88">
        <v>45838</v>
      </c>
      <c r="B1847" s="2" t="s">
        <v>1319</v>
      </c>
      <c r="C1847" s="36" t="s">
        <v>84</v>
      </c>
      <c r="D1847" s="17" t="s">
        <v>2093</v>
      </c>
      <c r="E1847" s="45"/>
      <c r="F1847" s="44"/>
    </row>
    <row r="1848" spans="1:6" x14ac:dyDescent="0.35">
      <c r="A1848" s="88">
        <v>45838</v>
      </c>
      <c r="B1848" s="2" t="s">
        <v>1707</v>
      </c>
      <c r="C1848" s="36" t="s">
        <v>84</v>
      </c>
      <c r="D1848" s="17" t="s">
        <v>2094</v>
      </c>
      <c r="E1848" s="45"/>
      <c r="F1848" s="44"/>
    </row>
    <row r="1849" spans="1:6" x14ac:dyDescent="0.35">
      <c r="A1849" s="88">
        <v>45839</v>
      </c>
      <c r="B1849" s="2" t="s">
        <v>547</v>
      </c>
      <c r="C1849" s="36" t="s">
        <v>84</v>
      </c>
      <c r="D1849" s="17" t="s">
        <v>1469</v>
      </c>
      <c r="E1849" s="45"/>
      <c r="F1849" s="44"/>
    </row>
    <row r="1850" spans="1:6" x14ac:dyDescent="0.35">
      <c r="A1850" s="88">
        <v>45839</v>
      </c>
      <c r="B1850" s="2" t="s">
        <v>1851</v>
      </c>
      <c r="C1850" s="36" t="s">
        <v>84</v>
      </c>
      <c r="D1850" s="17" t="s">
        <v>1565</v>
      </c>
      <c r="E1850" s="45"/>
      <c r="F1850" s="44"/>
    </row>
    <row r="1851" spans="1:6" x14ac:dyDescent="0.35">
      <c r="A1851" s="88">
        <v>45839</v>
      </c>
      <c r="B1851" s="2" t="s">
        <v>1852</v>
      </c>
      <c r="C1851" s="36" t="s">
        <v>84</v>
      </c>
      <c r="D1851" s="17" t="s">
        <v>2095</v>
      </c>
      <c r="E1851" s="45"/>
      <c r="F1851" s="44"/>
    </row>
    <row r="1852" spans="1:6" x14ac:dyDescent="0.35">
      <c r="A1852" s="88">
        <v>45839</v>
      </c>
      <c r="B1852" s="2" t="s">
        <v>1853</v>
      </c>
      <c r="C1852" s="36" t="s">
        <v>84</v>
      </c>
      <c r="D1852" s="17" t="s">
        <v>1116</v>
      </c>
      <c r="E1852" s="45"/>
      <c r="F1852" s="44"/>
    </row>
    <row r="1853" spans="1:6" x14ac:dyDescent="0.35">
      <c r="A1853" s="88">
        <v>45839</v>
      </c>
      <c r="B1853" s="2" t="s">
        <v>1854</v>
      </c>
      <c r="C1853" s="36" t="s">
        <v>84</v>
      </c>
      <c r="D1853" s="17" t="s">
        <v>2027</v>
      </c>
      <c r="E1853" s="45"/>
      <c r="F1853" s="44"/>
    </row>
    <row r="1854" spans="1:6" x14ac:dyDescent="0.35">
      <c r="A1854" s="88">
        <v>45839</v>
      </c>
      <c r="B1854" s="2" t="s">
        <v>1855</v>
      </c>
      <c r="C1854" s="36" t="s">
        <v>84</v>
      </c>
      <c r="D1854" s="17" t="s">
        <v>1558</v>
      </c>
      <c r="E1854" s="45"/>
      <c r="F1854" s="44"/>
    </row>
    <row r="1855" spans="1:6" x14ac:dyDescent="0.35">
      <c r="A1855" s="88">
        <v>45839</v>
      </c>
      <c r="B1855" s="2" t="s">
        <v>1856</v>
      </c>
      <c r="C1855" s="36" t="s">
        <v>84</v>
      </c>
      <c r="D1855" s="17" t="s">
        <v>1558</v>
      </c>
      <c r="E1855" s="45"/>
      <c r="F1855" s="44"/>
    </row>
    <row r="1856" spans="1:6" x14ac:dyDescent="0.35">
      <c r="A1856" s="88">
        <v>45839</v>
      </c>
      <c r="B1856" s="2" t="s">
        <v>1857</v>
      </c>
      <c r="C1856" s="36" t="s">
        <v>84</v>
      </c>
      <c r="D1856" s="17" t="s">
        <v>2096</v>
      </c>
      <c r="E1856" s="45"/>
      <c r="F1856" s="44"/>
    </row>
    <row r="1857" spans="1:6" x14ac:dyDescent="0.35">
      <c r="A1857" s="88">
        <v>45840</v>
      </c>
      <c r="B1857" s="2" t="s">
        <v>592</v>
      </c>
      <c r="C1857" s="36" t="s">
        <v>84</v>
      </c>
      <c r="D1857" s="17" t="s">
        <v>1469</v>
      </c>
      <c r="E1857" s="45"/>
      <c r="F1857" s="44"/>
    </row>
    <row r="1858" spans="1:6" x14ac:dyDescent="0.35">
      <c r="A1858" s="88">
        <v>45840</v>
      </c>
      <c r="B1858" s="2" t="s">
        <v>1858</v>
      </c>
      <c r="C1858" s="36" t="s">
        <v>84</v>
      </c>
      <c r="D1858" s="17" t="s">
        <v>2097</v>
      </c>
      <c r="E1858" s="45">
        <v>270.86</v>
      </c>
      <c r="F1858" s="44">
        <v>325.03199999999998</v>
      </c>
    </row>
    <row r="1859" spans="1:6" x14ac:dyDescent="0.35">
      <c r="A1859" s="88">
        <v>45841</v>
      </c>
      <c r="B1859" s="2" t="s">
        <v>1859</v>
      </c>
      <c r="C1859" s="36" t="s">
        <v>84</v>
      </c>
      <c r="D1859" s="17" t="s">
        <v>1565</v>
      </c>
      <c r="E1859" s="45"/>
      <c r="F1859" s="44"/>
    </row>
    <row r="1860" spans="1:6" x14ac:dyDescent="0.35">
      <c r="A1860" s="88">
        <v>45841</v>
      </c>
      <c r="B1860" s="2" t="s">
        <v>1860</v>
      </c>
      <c r="C1860" s="36" t="s">
        <v>84</v>
      </c>
      <c r="D1860" s="17" t="s">
        <v>2098</v>
      </c>
      <c r="E1860" s="45"/>
      <c r="F1860" s="44"/>
    </row>
    <row r="1861" spans="1:6" x14ac:dyDescent="0.35">
      <c r="A1861" s="88">
        <v>45841</v>
      </c>
      <c r="B1861" s="2" t="s">
        <v>1778</v>
      </c>
      <c r="C1861" s="36" t="s">
        <v>84</v>
      </c>
      <c r="D1861" s="17" t="s">
        <v>1469</v>
      </c>
      <c r="E1861" s="45"/>
      <c r="F1861" s="44"/>
    </row>
    <row r="1862" spans="1:6" x14ac:dyDescent="0.35">
      <c r="A1862" s="88">
        <v>45842</v>
      </c>
      <c r="B1862" s="2" t="s">
        <v>1861</v>
      </c>
      <c r="C1862" s="36" t="s">
        <v>594</v>
      </c>
      <c r="D1862" s="17" t="s">
        <v>2022</v>
      </c>
      <c r="E1862" s="45">
        <v>4815.26</v>
      </c>
      <c r="F1862" s="44">
        <v>5778.3119999999999</v>
      </c>
    </row>
    <row r="1863" spans="1:6" x14ac:dyDescent="0.35">
      <c r="A1863" s="88">
        <v>45842</v>
      </c>
      <c r="B1863" s="2" t="s">
        <v>1348</v>
      </c>
      <c r="C1863" s="36" t="s">
        <v>84</v>
      </c>
      <c r="D1863" s="17" t="s">
        <v>1109</v>
      </c>
      <c r="E1863" s="45"/>
      <c r="F1863" s="44"/>
    </row>
    <row r="1864" spans="1:6" x14ac:dyDescent="0.35">
      <c r="A1864" s="88">
        <v>45845</v>
      </c>
      <c r="B1864" s="2" t="s">
        <v>1862</v>
      </c>
      <c r="C1864" s="36" t="s">
        <v>84</v>
      </c>
      <c r="D1864" s="17" t="s">
        <v>1469</v>
      </c>
      <c r="E1864" s="45"/>
      <c r="F1864" s="44"/>
    </row>
    <row r="1865" spans="1:6" x14ac:dyDescent="0.35">
      <c r="A1865" s="88">
        <v>45845</v>
      </c>
      <c r="B1865" s="2" t="s">
        <v>1254</v>
      </c>
      <c r="C1865" s="36" t="s">
        <v>84</v>
      </c>
      <c r="D1865" s="17" t="s">
        <v>2027</v>
      </c>
      <c r="E1865" s="45"/>
      <c r="F1865" s="44"/>
    </row>
    <row r="1866" spans="1:6" x14ac:dyDescent="0.35">
      <c r="A1866" s="88">
        <v>45846</v>
      </c>
      <c r="B1866" s="2" t="s">
        <v>1761</v>
      </c>
      <c r="C1866" s="36" t="s">
        <v>84</v>
      </c>
      <c r="D1866" s="17" t="s">
        <v>2099</v>
      </c>
      <c r="E1866" s="45"/>
      <c r="F1866" s="44"/>
    </row>
    <row r="1867" spans="1:6" x14ac:dyDescent="0.35">
      <c r="A1867" s="88">
        <v>45855</v>
      </c>
      <c r="B1867" s="2" t="s">
        <v>1863</v>
      </c>
      <c r="C1867" s="36" t="s">
        <v>84</v>
      </c>
      <c r="D1867" s="17" t="s">
        <v>600</v>
      </c>
      <c r="E1867" s="45"/>
      <c r="F1867" s="44"/>
    </row>
    <row r="1868" spans="1:6" x14ac:dyDescent="0.35">
      <c r="A1868" s="88">
        <v>45862</v>
      </c>
      <c r="B1868" s="2" t="s">
        <v>1864</v>
      </c>
      <c r="C1868" s="36" t="s">
        <v>84</v>
      </c>
      <c r="D1868" s="17" t="s">
        <v>2047</v>
      </c>
      <c r="E1868" s="45"/>
      <c r="F1868" s="44"/>
    </row>
    <row r="1869" spans="1:6" x14ac:dyDescent="0.35">
      <c r="A1869" s="88">
        <v>45902</v>
      </c>
      <c r="B1869" s="2" t="s">
        <v>1865</v>
      </c>
      <c r="C1869" s="36" t="s">
        <v>84</v>
      </c>
      <c r="D1869" s="17" t="s">
        <v>2088</v>
      </c>
      <c r="E1869" s="45">
        <v>135.43</v>
      </c>
      <c r="F1869" s="44">
        <v>162.51599999999999</v>
      </c>
    </row>
    <row r="1870" spans="1:6" x14ac:dyDescent="0.35">
      <c r="A1870" s="88">
        <v>45903</v>
      </c>
      <c r="B1870" s="2" t="s">
        <v>1865</v>
      </c>
      <c r="C1870" s="36" t="s">
        <v>84</v>
      </c>
      <c r="D1870" s="17" t="s">
        <v>2088</v>
      </c>
      <c r="E1870" s="45">
        <v>135.43</v>
      </c>
      <c r="F1870" s="44">
        <v>162.51599999999999</v>
      </c>
    </row>
    <row r="1871" spans="1:6" x14ac:dyDescent="0.35">
      <c r="A1871" s="88">
        <v>45903</v>
      </c>
      <c r="B1871" s="2" t="s">
        <v>1866</v>
      </c>
      <c r="C1871" s="36" t="s">
        <v>84</v>
      </c>
      <c r="D1871" s="17" t="s">
        <v>2088</v>
      </c>
      <c r="E1871" s="45"/>
      <c r="F1871" s="44"/>
    </row>
    <row r="1872" spans="1:6" x14ac:dyDescent="0.35">
      <c r="A1872" s="88">
        <v>45903</v>
      </c>
      <c r="B1872" s="2" t="s">
        <v>1867</v>
      </c>
      <c r="C1872" s="36" t="s">
        <v>84</v>
      </c>
      <c r="D1872" s="17" t="s">
        <v>1613</v>
      </c>
      <c r="E1872" s="45">
        <v>135.80000000000001</v>
      </c>
      <c r="F1872" s="44">
        <v>162.96</v>
      </c>
    </row>
    <row r="1873" spans="1:6" x14ac:dyDescent="0.35">
      <c r="A1873" s="88">
        <v>45904</v>
      </c>
      <c r="B1873" s="2" t="s">
        <v>1868</v>
      </c>
      <c r="C1873" s="36" t="s">
        <v>84</v>
      </c>
      <c r="D1873" s="17" t="s">
        <v>1454</v>
      </c>
      <c r="E1873" s="45"/>
      <c r="F1873" s="44"/>
    </row>
    <row r="1874" spans="1:6" x14ac:dyDescent="0.35">
      <c r="A1874" s="88">
        <v>45904</v>
      </c>
      <c r="B1874" s="2" t="s">
        <v>1869</v>
      </c>
      <c r="C1874" s="36" t="s">
        <v>84</v>
      </c>
      <c r="D1874" s="17" t="s">
        <v>2049</v>
      </c>
      <c r="E1874" s="45"/>
      <c r="F1874" s="44"/>
    </row>
    <row r="1875" spans="1:6" x14ac:dyDescent="0.35">
      <c r="A1875" s="88">
        <v>45905</v>
      </c>
      <c r="B1875" s="2" t="s">
        <v>1870</v>
      </c>
      <c r="C1875" s="36" t="s">
        <v>84</v>
      </c>
      <c r="D1875" s="17" t="s">
        <v>1116</v>
      </c>
      <c r="E1875" s="45"/>
      <c r="F1875" s="44"/>
    </row>
    <row r="1876" spans="1:6" x14ac:dyDescent="0.35">
      <c r="A1876" s="88">
        <v>45908</v>
      </c>
      <c r="B1876" s="2" t="s">
        <v>1685</v>
      </c>
      <c r="C1876" s="36" t="s">
        <v>84</v>
      </c>
      <c r="D1876" s="17" t="s">
        <v>2100</v>
      </c>
      <c r="E1876" s="45"/>
      <c r="F1876" s="44"/>
    </row>
    <row r="1877" spans="1:6" x14ac:dyDescent="0.35">
      <c r="A1877" s="88">
        <v>45908</v>
      </c>
      <c r="B1877" s="2" t="s">
        <v>1871</v>
      </c>
      <c r="C1877" s="36" t="s">
        <v>84</v>
      </c>
      <c r="D1877" s="17" t="s">
        <v>1614</v>
      </c>
      <c r="E1877" s="45"/>
      <c r="F1877" s="44"/>
    </row>
    <row r="1878" spans="1:6" x14ac:dyDescent="0.35">
      <c r="A1878" s="88">
        <v>45908</v>
      </c>
      <c r="B1878" s="2" t="s">
        <v>1792</v>
      </c>
      <c r="C1878" s="36" t="s">
        <v>84</v>
      </c>
      <c r="D1878" s="17" t="s">
        <v>1609</v>
      </c>
      <c r="E1878" s="45"/>
      <c r="F1878" s="44"/>
    </row>
    <row r="1879" spans="1:6" x14ac:dyDescent="0.35">
      <c r="A1879" s="88">
        <v>45908</v>
      </c>
      <c r="B1879" s="2" t="s">
        <v>1707</v>
      </c>
      <c r="C1879" s="36" t="s">
        <v>84</v>
      </c>
      <c r="D1879" s="17" t="s">
        <v>1496</v>
      </c>
      <c r="E1879" s="45"/>
      <c r="F1879" s="44"/>
    </row>
    <row r="1880" spans="1:6" x14ac:dyDescent="0.35">
      <c r="A1880" s="88">
        <v>45908</v>
      </c>
      <c r="B1880" s="2" t="s">
        <v>884</v>
      </c>
      <c r="C1880" s="36" t="s">
        <v>84</v>
      </c>
      <c r="D1880" s="17" t="s">
        <v>1469</v>
      </c>
      <c r="E1880" s="45"/>
      <c r="F1880" s="44"/>
    </row>
    <row r="1881" spans="1:6" x14ac:dyDescent="0.35">
      <c r="A1881" s="88">
        <v>45909</v>
      </c>
      <c r="B1881" s="2" t="s">
        <v>1872</v>
      </c>
      <c r="C1881" s="36" t="s">
        <v>84</v>
      </c>
      <c r="D1881" s="17" t="s">
        <v>1558</v>
      </c>
      <c r="E1881" s="45">
        <v>0</v>
      </c>
      <c r="F1881" s="44">
        <v>0</v>
      </c>
    </row>
    <row r="1882" spans="1:6" x14ac:dyDescent="0.35">
      <c r="A1882" s="88">
        <v>45909</v>
      </c>
      <c r="B1882" s="2" t="s">
        <v>1339</v>
      </c>
      <c r="C1882" s="36" t="s">
        <v>84</v>
      </c>
      <c r="D1882" s="17" t="s">
        <v>1569</v>
      </c>
      <c r="E1882" s="45">
        <v>293.83</v>
      </c>
      <c r="F1882" s="44">
        <v>352.59599999999995</v>
      </c>
    </row>
    <row r="1883" spans="1:6" x14ac:dyDescent="0.35">
      <c r="A1883" s="88">
        <v>45910</v>
      </c>
      <c r="B1883" s="2" t="s">
        <v>1873</v>
      </c>
      <c r="C1883" s="36" t="s">
        <v>84</v>
      </c>
      <c r="D1883" s="17" t="s">
        <v>1565</v>
      </c>
      <c r="E1883" s="45"/>
      <c r="F1883" s="44"/>
    </row>
    <row r="1884" spans="1:6" x14ac:dyDescent="0.35">
      <c r="A1884" s="88">
        <v>45911</v>
      </c>
      <c r="B1884" s="2" t="s">
        <v>1874</v>
      </c>
      <c r="C1884" s="36" t="s">
        <v>84</v>
      </c>
      <c r="D1884" s="17" t="s">
        <v>785</v>
      </c>
      <c r="E1884" s="45"/>
      <c r="F1884" s="44"/>
    </row>
    <row r="1885" spans="1:6" x14ac:dyDescent="0.35">
      <c r="A1885" s="88">
        <v>45911</v>
      </c>
      <c r="B1885" s="2" t="s">
        <v>1670</v>
      </c>
      <c r="C1885" s="36" t="s">
        <v>84</v>
      </c>
      <c r="D1885" s="17" t="s">
        <v>1469</v>
      </c>
      <c r="E1885" s="45"/>
      <c r="F1885" s="44"/>
    </row>
    <row r="1886" spans="1:6" x14ac:dyDescent="0.35">
      <c r="A1886" s="88">
        <v>45912</v>
      </c>
      <c r="B1886" s="2" t="s">
        <v>1875</v>
      </c>
      <c r="C1886" s="36" t="s">
        <v>84</v>
      </c>
      <c r="D1886" s="17" t="s">
        <v>1558</v>
      </c>
      <c r="E1886" s="45">
        <v>0</v>
      </c>
      <c r="F1886" s="44">
        <v>0</v>
      </c>
    </row>
    <row r="1887" spans="1:6" x14ac:dyDescent="0.35">
      <c r="A1887" s="88">
        <v>45912</v>
      </c>
      <c r="B1887" s="2" t="s">
        <v>1876</v>
      </c>
      <c r="C1887" s="36" t="s">
        <v>84</v>
      </c>
      <c r="D1887" s="17" t="s">
        <v>2101</v>
      </c>
      <c r="E1887" s="45">
        <v>135.43</v>
      </c>
      <c r="F1887" s="44">
        <v>162.51599999999999</v>
      </c>
    </row>
    <row r="1888" spans="1:6" x14ac:dyDescent="0.35">
      <c r="A1888" s="88">
        <v>45912</v>
      </c>
      <c r="B1888" s="2" t="s">
        <v>1877</v>
      </c>
      <c r="C1888" s="36" t="s">
        <v>84</v>
      </c>
      <c r="D1888" s="17" t="s">
        <v>2100</v>
      </c>
      <c r="E1888" s="45"/>
      <c r="F1888" s="44"/>
    </row>
    <row r="1889" spans="1:6" x14ac:dyDescent="0.35">
      <c r="A1889" s="88">
        <v>45912</v>
      </c>
      <c r="B1889" s="2" t="s">
        <v>1878</v>
      </c>
      <c r="C1889" s="36" t="s">
        <v>84</v>
      </c>
      <c r="D1889" s="17" t="s">
        <v>1116</v>
      </c>
      <c r="E1889" s="45"/>
      <c r="F1889" s="44"/>
    </row>
    <row r="1890" spans="1:6" x14ac:dyDescent="0.35">
      <c r="A1890" s="88">
        <v>45915</v>
      </c>
      <c r="B1890" s="2" t="s">
        <v>1879</v>
      </c>
      <c r="C1890" s="36" t="s">
        <v>84</v>
      </c>
      <c r="D1890" s="17" t="s">
        <v>1469</v>
      </c>
      <c r="E1890" s="45"/>
      <c r="F1890" s="44"/>
    </row>
    <row r="1891" spans="1:6" x14ac:dyDescent="0.35">
      <c r="A1891" s="88">
        <v>45915</v>
      </c>
      <c r="B1891" s="2" t="s">
        <v>1880</v>
      </c>
      <c r="C1891" s="36" t="s">
        <v>84</v>
      </c>
      <c r="D1891" s="17" t="s">
        <v>1558</v>
      </c>
      <c r="E1891" s="45"/>
      <c r="F1891" s="44"/>
    </row>
    <row r="1892" spans="1:6" x14ac:dyDescent="0.35">
      <c r="A1892" s="88">
        <v>45915</v>
      </c>
      <c r="B1892" s="2" t="s">
        <v>1881</v>
      </c>
      <c r="C1892" s="36" t="s">
        <v>84</v>
      </c>
      <c r="D1892" s="17" t="s">
        <v>1614</v>
      </c>
      <c r="E1892" s="45"/>
      <c r="F1892" s="44"/>
    </row>
    <row r="1893" spans="1:6" x14ac:dyDescent="0.35">
      <c r="A1893" s="88">
        <v>45915</v>
      </c>
      <c r="B1893" s="2" t="s">
        <v>1878</v>
      </c>
      <c r="C1893" s="36" t="s">
        <v>84</v>
      </c>
      <c r="D1893" s="17" t="s">
        <v>1116</v>
      </c>
      <c r="E1893" s="45"/>
      <c r="F1893" s="44"/>
    </row>
    <row r="1894" spans="1:6" x14ac:dyDescent="0.35">
      <c r="A1894" s="88">
        <v>45916</v>
      </c>
      <c r="B1894" s="2" t="s">
        <v>1882</v>
      </c>
      <c r="C1894" s="36" t="s">
        <v>84</v>
      </c>
      <c r="D1894" s="17" t="s">
        <v>2102</v>
      </c>
      <c r="E1894" s="45">
        <v>135.43</v>
      </c>
      <c r="F1894" s="44">
        <v>162.51599999999999</v>
      </c>
    </row>
    <row r="1895" spans="1:6" x14ac:dyDescent="0.35">
      <c r="A1895" s="88">
        <v>45916</v>
      </c>
      <c r="B1895" s="2" t="s">
        <v>1883</v>
      </c>
      <c r="C1895" s="36" t="s">
        <v>84</v>
      </c>
      <c r="D1895" s="17" t="s">
        <v>2065</v>
      </c>
      <c r="E1895" s="45"/>
      <c r="F1895" s="44"/>
    </row>
    <row r="1896" spans="1:6" x14ac:dyDescent="0.35">
      <c r="A1896" s="88">
        <v>45916</v>
      </c>
      <c r="B1896" s="2" t="s">
        <v>1884</v>
      </c>
      <c r="C1896" s="36" t="s">
        <v>84</v>
      </c>
      <c r="D1896" s="17" t="s">
        <v>1116</v>
      </c>
      <c r="E1896" s="45"/>
      <c r="F1896" s="44"/>
    </row>
    <row r="1897" spans="1:6" x14ac:dyDescent="0.35">
      <c r="A1897" s="88">
        <v>45917</v>
      </c>
      <c r="B1897" s="2" t="s">
        <v>1885</v>
      </c>
      <c r="C1897" s="36" t="s">
        <v>84</v>
      </c>
      <c r="D1897" s="17" t="s">
        <v>2103</v>
      </c>
      <c r="E1897" s="45">
        <v>270.86</v>
      </c>
      <c r="F1897" s="44">
        <v>325.03199999999998</v>
      </c>
    </row>
    <row r="1898" spans="1:6" x14ac:dyDescent="0.35">
      <c r="A1898" s="88">
        <v>45917</v>
      </c>
      <c r="B1898" s="2" t="s">
        <v>1886</v>
      </c>
      <c r="C1898" s="36" t="s">
        <v>84</v>
      </c>
      <c r="D1898" s="17" t="s">
        <v>2104</v>
      </c>
      <c r="E1898" s="45"/>
      <c r="F1898" s="44"/>
    </row>
    <row r="1899" spans="1:6" x14ac:dyDescent="0.35">
      <c r="A1899" s="88">
        <v>45918</v>
      </c>
      <c r="B1899" s="2" t="s">
        <v>1670</v>
      </c>
      <c r="C1899" s="36" t="s">
        <v>84</v>
      </c>
      <c r="D1899" s="17" t="s">
        <v>1469</v>
      </c>
      <c r="E1899" s="45"/>
      <c r="F1899" s="44"/>
    </row>
    <row r="1900" spans="1:6" x14ac:dyDescent="0.35">
      <c r="A1900" s="88">
        <v>45918</v>
      </c>
      <c r="B1900" s="2" t="s">
        <v>1887</v>
      </c>
      <c r="C1900" s="36" t="s">
        <v>84</v>
      </c>
      <c r="D1900" s="17" t="s">
        <v>1558</v>
      </c>
      <c r="E1900" s="45"/>
      <c r="F1900" s="44"/>
    </row>
    <row r="1901" spans="1:6" x14ac:dyDescent="0.35">
      <c r="A1901" s="88">
        <v>45919</v>
      </c>
      <c r="B1901" s="2" t="s">
        <v>1707</v>
      </c>
      <c r="C1901" s="36" t="s">
        <v>84</v>
      </c>
      <c r="D1901" s="17" t="s">
        <v>2105</v>
      </c>
      <c r="E1901" s="45"/>
      <c r="F1901" s="44"/>
    </row>
    <row r="1902" spans="1:6" x14ac:dyDescent="0.35">
      <c r="A1902" s="88">
        <v>45919</v>
      </c>
      <c r="B1902" s="2" t="s">
        <v>1888</v>
      </c>
      <c r="C1902" s="36" t="s">
        <v>84</v>
      </c>
      <c r="D1902" s="17" t="s">
        <v>1469</v>
      </c>
      <c r="E1902" s="45"/>
      <c r="F1902" s="44"/>
    </row>
    <row r="1903" spans="1:6" x14ac:dyDescent="0.35">
      <c r="A1903" s="88">
        <v>45919</v>
      </c>
      <c r="B1903" s="2" t="s">
        <v>1878</v>
      </c>
      <c r="C1903" s="36" t="s">
        <v>84</v>
      </c>
      <c r="D1903" s="17" t="s">
        <v>1116</v>
      </c>
      <c r="E1903" s="45"/>
      <c r="F1903" s="44"/>
    </row>
    <row r="1904" spans="1:6" x14ac:dyDescent="0.35">
      <c r="A1904" s="88">
        <v>45919</v>
      </c>
      <c r="B1904" s="2" t="s">
        <v>1889</v>
      </c>
      <c r="C1904" s="36" t="s">
        <v>84</v>
      </c>
      <c r="D1904" s="17" t="s">
        <v>2100</v>
      </c>
      <c r="E1904" s="45"/>
      <c r="F1904" s="44"/>
    </row>
    <row r="1905" spans="1:6" x14ac:dyDescent="0.35">
      <c r="A1905" s="88">
        <v>45922</v>
      </c>
      <c r="B1905" s="2" t="s">
        <v>1890</v>
      </c>
      <c r="C1905" s="36" t="s">
        <v>84</v>
      </c>
      <c r="D1905" s="17" t="s">
        <v>2106</v>
      </c>
      <c r="E1905" s="45"/>
      <c r="F1905" s="44"/>
    </row>
    <row r="1906" spans="1:6" x14ac:dyDescent="0.35">
      <c r="A1906" s="88">
        <v>45922</v>
      </c>
      <c r="B1906" s="2" t="s">
        <v>1891</v>
      </c>
      <c r="C1906" s="36" t="s">
        <v>84</v>
      </c>
      <c r="D1906" s="17" t="s">
        <v>2107</v>
      </c>
      <c r="E1906" s="45"/>
      <c r="F1906" s="44"/>
    </row>
    <row r="1907" spans="1:6" x14ac:dyDescent="0.35">
      <c r="A1907" s="88">
        <v>45922</v>
      </c>
      <c r="B1907" s="2" t="s">
        <v>1712</v>
      </c>
      <c r="C1907" s="36" t="s">
        <v>84</v>
      </c>
      <c r="D1907" s="17" t="s">
        <v>2108</v>
      </c>
      <c r="E1907" s="45"/>
      <c r="F1907" s="44"/>
    </row>
    <row r="1908" spans="1:6" x14ac:dyDescent="0.35">
      <c r="A1908" s="88">
        <v>45922</v>
      </c>
      <c r="B1908" s="2" t="s">
        <v>1892</v>
      </c>
      <c r="C1908" s="36" t="s">
        <v>84</v>
      </c>
      <c r="D1908" s="17" t="s">
        <v>2109</v>
      </c>
      <c r="E1908" s="45"/>
      <c r="F1908" s="44"/>
    </row>
    <row r="1909" spans="1:6" x14ac:dyDescent="0.35">
      <c r="A1909" s="88">
        <v>45923</v>
      </c>
      <c r="B1909" s="2" t="s">
        <v>1893</v>
      </c>
      <c r="C1909" s="36" t="s">
        <v>84</v>
      </c>
      <c r="D1909" s="17" t="s">
        <v>2109</v>
      </c>
      <c r="E1909" s="45">
        <v>406.29</v>
      </c>
      <c r="F1909" s="44">
        <v>487.548</v>
      </c>
    </row>
    <row r="1910" spans="1:6" x14ac:dyDescent="0.35">
      <c r="A1910" s="88">
        <v>45923</v>
      </c>
      <c r="B1910" s="2" t="s">
        <v>1894</v>
      </c>
      <c r="C1910" s="36" t="s">
        <v>84</v>
      </c>
      <c r="D1910" s="17" t="s">
        <v>2110</v>
      </c>
      <c r="E1910" s="45"/>
      <c r="F1910" s="44"/>
    </row>
    <row r="1911" spans="1:6" x14ac:dyDescent="0.35">
      <c r="A1911" s="88">
        <v>45924</v>
      </c>
      <c r="B1911" s="2" t="s">
        <v>1895</v>
      </c>
      <c r="C1911" s="36" t="s">
        <v>84</v>
      </c>
      <c r="D1911" s="17" t="s">
        <v>2111</v>
      </c>
      <c r="E1911" s="45"/>
      <c r="F1911" s="44"/>
    </row>
    <row r="1912" spans="1:6" x14ac:dyDescent="0.35">
      <c r="A1912" s="88">
        <v>45924</v>
      </c>
      <c r="B1912" s="2" t="s">
        <v>566</v>
      </c>
      <c r="C1912" s="36" t="s">
        <v>84</v>
      </c>
      <c r="D1912" s="17" t="s">
        <v>1089</v>
      </c>
      <c r="E1912" s="45"/>
      <c r="F1912" s="44"/>
    </row>
    <row r="1913" spans="1:6" x14ac:dyDescent="0.35">
      <c r="A1913" s="88">
        <v>45924</v>
      </c>
      <c r="B1913" s="2" t="s">
        <v>1896</v>
      </c>
      <c r="C1913" s="36" t="s">
        <v>84</v>
      </c>
      <c r="D1913" s="17" t="s">
        <v>1116</v>
      </c>
      <c r="E1913" s="45"/>
      <c r="F1913" s="44"/>
    </row>
    <row r="1914" spans="1:6" x14ac:dyDescent="0.35">
      <c r="A1914" s="88">
        <v>45924</v>
      </c>
      <c r="B1914" s="2" t="s">
        <v>1890</v>
      </c>
      <c r="C1914" s="36" t="s">
        <v>84</v>
      </c>
      <c r="D1914" s="17" t="s">
        <v>2106</v>
      </c>
      <c r="E1914" s="45"/>
      <c r="F1914" s="44"/>
    </row>
    <row r="1915" spans="1:6" x14ac:dyDescent="0.35">
      <c r="A1915" s="88">
        <v>45924</v>
      </c>
      <c r="B1915" s="2" t="s">
        <v>1362</v>
      </c>
      <c r="C1915" s="36" t="s">
        <v>84</v>
      </c>
      <c r="D1915" s="17" t="s">
        <v>1565</v>
      </c>
      <c r="E1915" s="45"/>
      <c r="F1915" s="44"/>
    </row>
    <row r="1916" spans="1:6" x14ac:dyDescent="0.35">
      <c r="A1916" s="88">
        <v>45925</v>
      </c>
      <c r="B1916" s="2" t="s">
        <v>935</v>
      </c>
      <c r="C1916" s="36" t="s">
        <v>84</v>
      </c>
      <c r="D1916" s="17" t="s">
        <v>2112</v>
      </c>
      <c r="E1916" s="45"/>
      <c r="F1916" s="44"/>
    </row>
    <row r="1917" spans="1:6" x14ac:dyDescent="0.35">
      <c r="A1917" s="88">
        <v>45925</v>
      </c>
      <c r="B1917" s="2" t="s">
        <v>1897</v>
      </c>
      <c r="C1917" s="36" t="s">
        <v>84</v>
      </c>
      <c r="D1917" s="17" t="s">
        <v>1556</v>
      </c>
      <c r="E1917" s="45"/>
      <c r="F1917" s="44"/>
    </row>
    <row r="1918" spans="1:6" x14ac:dyDescent="0.35">
      <c r="A1918" s="88">
        <v>45925</v>
      </c>
      <c r="B1918" s="2" t="s">
        <v>1878</v>
      </c>
      <c r="C1918" s="36" t="s">
        <v>84</v>
      </c>
      <c r="D1918" s="17" t="s">
        <v>1116</v>
      </c>
      <c r="E1918" s="45"/>
      <c r="F1918" s="44"/>
    </row>
    <row r="1919" spans="1:6" x14ac:dyDescent="0.35">
      <c r="A1919" s="88">
        <v>45925</v>
      </c>
      <c r="B1919" s="2" t="s">
        <v>1670</v>
      </c>
      <c r="C1919" s="36" t="s">
        <v>84</v>
      </c>
      <c r="D1919" s="17" t="s">
        <v>1469</v>
      </c>
      <c r="E1919" s="45"/>
      <c r="F1919" s="44"/>
    </row>
    <row r="1920" spans="1:6" x14ac:dyDescent="0.35">
      <c r="A1920" s="88">
        <v>45925</v>
      </c>
      <c r="B1920" s="2" t="s">
        <v>1898</v>
      </c>
      <c r="C1920" s="36" t="s">
        <v>84</v>
      </c>
      <c r="D1920" s="17" t="s">
        <v>1558</v>
      </c>
      <c r="E1920" s="45"/>
      <c r="F1920" s="44"/>
    </row>
    <row r="1921" spans="1:6" x14ac:dyDescent="0.35">
      <c r="A1921" s="88">
        <v>45925</v>
      </c>
      <c r="B1921" s="2" t="s">
        <v>1899</v>
      </c>
      <c r="C1921" s="36" t="s">
        <v>84</v>
      </c>
      <c r="D1921" s="17" t="s">
        <v>2113</v>
      </c>
      <c r="E1921" s="45"/>
      <c r="F1921" s="44"/>
    </row>
    <row r="1922" spans="1:6" x14ac:dyDescent="0.35">
      <c r="A1922" s="88">
        <v>45925</v>
      </c>
      <c r="B1922" s="2" t="s">
        <v>825</v>
      </c>
      <c r="C1922" s="36" t="s">
        <v>84</v>
      </c>
      <c r="D1922" s="17" t="s">
        <v>2049</v>
      </c>
      <c r="E1922" s="45"/>
      <c r="F1922" s="44"/>
    </row>
    <row r="1923" spans="1:6" x14ac:dyDescent="0.35">
      <c r="A1923" s="88">
        <v>45925</v>
      </c>
      <c r="B1923" s="2" t="s">
        <v>1900</v>
      </c>
      <c r="C1923" s="36" t="s">
        <v>84</v>
      </c>
      <c r="D1923" s="17" t="s">
        <v>2038</v>
      </c>
      <c r="E1923" s="45"/>
      <c r="F1923" s="44"/>
    </row>
    <row r="1924" spans="1:6" x14ac:dyDescent="0.35">
      <c r="A1924" s="88">
        <v>45926</v>
      </c>
      <c r="B1924" s="2" t="s">
        <v>1902</v>
      </c>
      <c r="C1924" s="36" t="s">
        <v>2004</v>
      </c>
      <c r="D1924" s="17" t="s">
        <v>2010</v>
      </c>
      <c r="E1924" s="45">
        <v>2907.4</v>
      </c>
      <c r="F1924" s="44">
        <v>3368.88</v>
      </c>
    </row>
    <row r="1925" spans="1:6" x14ac:dyDescent="0.35">
      <c r="A1925" s="88">
        <v>45926</v>
      </c>
      <c r="B1925" s="2" t="s">
        <v>1901</v>
      </c>
      <c r="C1925" s="36" t="s">
        <v>594</v>
      </c>
      <c r="D1925" s="17" t="s">
        <v>2010</v>
      </c>
      <c r="E1925" s="45">
        <v>4864.8599999999997</v>
      </c>
      <c r="F1925" s="44">
        <v>5837.8319999999994</v>
      </c>
    </row>
    <row r="1926" spans="1:6" x14ac:dyDescent="0.35">
      <c r="A1926" s="88">
        <v>45929</v>
      </c>
      <c r="B1926" s="2" t="s">
        <v>1903</v>
      </c>
      <c r="C1926" s="36" t="s">
        <v>84</v>
      </c>
      <c r="D1926" s="17" t="s">
        <v>1558</v>
      </c>
      <c r="E1926" s="45"/>
      <c r="F1926" s="44"/>
    </row>
    <row r="1927" spans="1:6" x14ac:dyDescent="0.35">
      <c r="A1927" s="88">
        <v>45929</v>
      </c>
      <c r="B1927" s="2" t="s">
        <v>1878</v>
      </c>
      <c r="C1927" s="36" t="s">
        <v>84</v>
      </c>
      <c r="D1927" s="17" t="s">
        <v>1116</v>
      </c>
      <c r="E1927" s="45"/>
      <c r="F1927" s="44"/>
    </row>
    <row r="1928" spans="1:6" x14ac:dyDescent="0.35">
      <c r="A1928" s="88">
        <v>45929</v>
      </c>
      <c r="B1928" s="2" t="s">
        <v>1904</v>
      </c>
      <c r="C1928" s="36" t="s">
        <v>84</v>
      </c>
      <c r="D1928" s="17" t="s">
        <v>2107</v>
      </c>
      <c r="E1928" s="45"/>
      <c r="F1928" s="44"/>
    </row>
    <row r="1929" spans="1:6" x14ac:dyDescent="0.35">
      <c r="A1929" s="88">
        <v>45929</v>
      </c>
      <c r="B1929" s="2" t="s">
        <v>1905</v>
      </c>
      <c r="C1929" s="36" t="s">
        <v>84</v>
      </c>
      <c r="D1929" s="17" t="s">
        <v>1617</v>
      </c>
      <c r="E1929" s="45"/>
      <c r="F1929" s="44"/>
    </row>
    <row r="1930" spans="1:6" x14ac:dyDescent="0.35">
      <c r="A1930" s="88">
        <v>45930</v>
      </c>
      <c r="B1930" s="2" t="s">
        <v>1906</v>
      </c>
      <c r="C1930" s="36" t="s">
        <v>84</v>
      </c>
      <c r="D1930" s="17" t="s">
        <v>1558</v>
      </c>
      <c r="E1930" s="45"/>
      <c r="F1930" s="44"/>
    </row>
    <row r="1931" spans="1:6" x14ac:dyDescent="0.35">
      <c r="A1931" s="88">
        <v>45930</v>
      </c>
      <c r="B1931" s="2" t="s">
        <v>1907</v>
      </c>
      <c r="C1931" s="36" t="s">
        <v>84</v>
      </c>
      <c r="D1931" s="17" t="s">
        <v>2065</v>
      </c>
      <c r="E1931" s="45"/>
      <c r="F1931" s="44"/>
    </row>
    <row r="1932" spans="1:6" x14ac:dyDescent="0.35">
      <c r="A1932" s="88">
        <v>45930</v>
      </c>
      <c r="B1932" s="2" t="s">
        <v>1878</v>
      </c>
      <c r="C1932" s="36" t="s">
        <v>84</v>
      </c>
      <c r="D1932" s="17" t="s">
        <v>1116</v>
      </c>
      <c r="E1932" s="45"/>
      <c r="F1932" s="44"/>
    </row>
    <row r="1933" spans="1:6" x14ac:dyDescent="0.35">
      <c r="A1933" s="88">
        <v>45932</v>
      </c>
      <c r="B1933" s="2" t="s">
        <v>1908</v>
      </c>
      <c r="C1933" s="36" t="s">
        <v>84</v>
      </c>
      <c r="D1933" s="17" t="s">
        <v>2108</v>
      </c>
      <c r="E1933" s="45"/>
      <c r="F1933" s="44"/>
    </row>
    <row r="1934" spans="1:6" x14ac:dyDescent="0.35">
      <c r="A1934" s="88">
        <v>45932</v>
      </c>
      <c r="B1934" s="2" t="s">
        <v>1670</v>
      </c>
      <c r="C1934" s="36" t="s">
        <v>84</v>
      </c>
      <c r="D1934" s="17" t="s">
        <v>2108</v>
      </c>
      <c r="E1934" s="45"/>
      <c r="F1934" s="44"/>
    </row>
    <row r="1935" spans="1:6" x14ac:dyDescent="0.35">
      <c r="A1935" s="88">
        <v>45932</v>
      </c>
      <c r="B1935" s="2" t="s">
        <v>1909</v>
      </c>
      <c r="C1935" s="36" t="s">
        <v>84</v>
      </c>
      <c r="D1935" s="17" t="s">
        <v>2114</v>
      </c>
      <c r="E1935" s="45">
        <v>0</v>
      </c>
      <c r="F1935" s="44">
        <v>0</v>
      </c>
    </row>
    <row r="1936" spans="1:6" x14ac:dyDescent="0.35">
      <c r="A1936" s="88">
        <v>45933</v>
      </c>
      <c r="B1936" s="2" t="s">
        <v>1910</v>
      </c>
      <c r="C1936" s="36" t="s">
        <v>84</v>
      </c>
      <c r="D1936" s="17" t="s">
        <v>783</v>
      </c>
      <c r="E1936" s="45">
        <v>135.43</v>
      </c>
      <c r="F1936" s="44">
        <v>163</v>
      </c>
    </row>
    <row r="1937" spans="1:6" x14ac:dyDescent="0.35">
      <c r="A1937" s="88">
        <v>45933</v>
      </c>
      <c r="B1937" s="2" t="s">
        <v>1911</v>
      </c>
      <c r="C1937" s="36" t="s">
        <v>84</v>
      </c>
      <c r="D1937" s="17" t="s">
        <v>2115</v>
      </c>
      <c r="E1937" s="45"/>
      <c r="F1937" s="44"/>
    </row>
    <row r="1938" spans="1:6" x14ac:dyDescent="0.35">
      <c r="A1938" s="88">
        <v>45934</v>
      </c>
      <c r="B1938" s="2" t="s">
        <v>1912</v>
      </c>
      <c r="C1938" s="36" t="s">
        <v>84</v>
      </c>
      <c r="D1938" s="17" t="s">
        <v>2078</v>
      </c>
      <c r="E1938" s="45">
        <v>396</v>
      </c>
      <c r="F1938" s="44">
        <v>475.2</v>
      </c>
    </row>
    <row r="1939" spans="1:6" x14ac:dyDescent="0.35">
      <c r="A1939" s="88">
        <v>45936</v>
      </c>
      <c r="B1939" s="2" t="s">
        <v>1913</v>
      </c>
      <c r="C1939" s="36" t="s">
        <v>84</v>
      </c>
      <c r="D1939" s="17" t="s">
        <v>1565</v>
      </c>
      <c r="E1939" s="45">
        <v>0</v>
      </c>
      <c r="F1939" s="44">
        <v>0</v>
      </c>
    </row>
    <row r="1940" spans="1:6" x14ac:dyDescent="0.35">
      <c r="A1940" s="88">
        <v>45937</v>
      </c>
      <c r="B1940" s="2" t="s">
        <v>1914</v>
      </c>
      <c r="C1940" s="36" t="s">
        <v>2004</v>
      </c>
      <c r="D1940" s="17" t="s">
        <v>2011</v>
      </c>
      <c r="E1940" s="45">
        <v>5070.8599999999997</v>
      </c>
      <c r="F1940" s="44">
        <v>6085.0319999999992</v>
      </c>
    </row>
    <row r="1941" spans="1:6" x14ac:dyDescent="0.35">
      <c r="A1941" s="88">
        <v>45940</v>
      </c>
      <c r="B1941" s="2" t="s">
        <v>1915</v>
      </c>
      <c r="C1941" s="36" t="s">
        <v>84</v>
      </c>
      <c r="D1941" s="17" t="s">
        <v>1565</v>
      </c>
      <c r="E1941" s="45">
        <v>0</v>
      </c>
      <c r="F1941" s="44">
        <v>0</v>
      </c>
    </row>
    <row r="1942" spans="1:6" x14ac:dyDescent="0.35">
      <c r="A1942" s="88">
        <v>45940</v>
      </c>
      <c r="B1942" s="2" t="s">
        <v>1916</v>
      </c>
      <c r="C1942" s="36" t="s">
        <v>84</v>
      </c>
      <c r="D1942" s="17" t="s">
        <v>2053</v>
      </c>
      <c r="E1942" s="45">
        <v>456.29</v>
      </c>
      <c r="F1942" s="44">
        <v>487.55</v>
      </c>
    </row>
    <row r="1943" spans="1:6" x14ac:dyDescent="0.35">
      <c r="A1943" s="88">
        <v>45940</v>
      </c>
      <c r="B1943" s="2" t="s">
        <v>1917</v>
      </c>
      <c r="C1943" s="36" t="s">
        <v>84</v>
      </c>
      <c r="D1943" s="17" t="s">
        <v>1565</v>
      </c>
      <c r="E1943" s="45">
        <v>0</v>
      </c>
      <c r="F1943" s="44">
        <v>0</v>
      </c>
    </row>
    <row r="1944" spans="1:6" x14ac:dyDescent="0.35">
      <c r="A1944" s="88">
        <v>45941</v>
      </c>
      <c r="B1944" s="2" t="s">
        <v>1918</v>
      </c>
      <c r="C1944" s="36" t="s">
        <v>84</v>
      </c>
      <c r="D1944" s="17" t="s">
        <v>1565</v>
      </c>
      <c r="E1944" s="45">
        <v>0</v>
      </c>
      <c r="F1944" s="44">
        <v>0</v>
      </c>
    </row>
    <row r="1945" spans="1:6" x14ac:dyDescent="0.35">
      <c r="A1945" s="88">
        <v>45941</v>
      </c>
      <c r="B1945" s="2" t="s">
        <v>1919</v>
      </c>
      <c r="C1945" s="36" t="s">
        <v>84</v>
      </c>
      <c r="D1945" s="17" t="s">
        <v>1116</v>
      </c>
      <c r="E1945" s="45"/>
      <c r="F1945" s="44"/>
    </row>
    <row r="1946" spans="1:6" x14ac:dyDescent="0.35">
      <c r="A1946" s="88">
        <v>45943</v>
      </c>
      <c r="B1946" s="2" t="s">
        <v>1920</v>
      </c>
      <c r="C1946" s="36" t="s">
        <v>84</v>
      </c>
      <c r="D1946" s="17" t="s">
        <v>1116</v>
      </c>
      <c r="E1946" s="45"/>
      <c r="F1946" s="44"/>
    </row>
    <row r="1947" spans="1:6" x14ac:dyDescent="0.35">
      <c r="A1947" s="88">
        <v>45944</v>
      </c>
      <c r="B1947" s="2" t="s">
        <v>1921</v>
      </c>
      <c r="C1947" s="36" t="s">
        <v>84</v>
      </c>
      <c r="D1947" s="17" t="s">
        <v>1048</v>
      </c>
      <c r="E1947" s="45"/>
      <c r="F1947" s="44"/>
    </row>
    <row r="1948" spans="1:6" x14ac:dyDescent="0.35">
      <c r="A1948" s="88">
        <v>45945</v>
      </c>
      <c r="B1948" s="2" t="s">
        <v>1923</v>
      </c>
      <c r="C1948" s="36" t="s">
        <v>2004</v>
      </c>
      <c r="D1948" s="17" t="s">
        <v>1046</v>
      </c>
      <c r="E1948" s="45">
        <v>2335.4299999999998</v>
      </c>
      <c r="F1948" s="44">
        <v>2802.5159999999996</v>
      </c>
    </row>
    <row r="1949" spans="1:6" x14ac:dyDescent="0.35">
      <c r="A1949" s="88">
        <v>45945</v>
      </c>
      <c r="B1949" s="2" t="s">
        <v>1922</v>
      </c>
      <c r="C1949" s="36" t="s">
        <v>84</v>
      </c>
      <c r="D1949" s="17" t="s">
        <v>2116</v>
      </c>
      <c r="E1949" s="45">
        <v>0</v>
      </c>
      <c r="F1949" s="44">
        <v>0</v>
      </c>
    </row>
    <row r="1950" spans="1:6" x14ac:dyDescent="0.35">
      <c r="A1950" s="88">
        <v>45945</v>
      </c>
      <c r="B1950" s="2" t="s">
        <v>1773</v>
      </c>
      <c r="C1950" s="36" t="s">
        <v>84</v>
      </c>
      <c r="D1950" s="17" t="s">
        <v>1116</v>
      </c>
      <c r="E1950" s="45"/>
      <c r="F1950" s="44"/>
    </row>
    <row r="1951" spans="1:6" x14ac:dyDescent="0.35">
      <c r="A1951" s="88">
        <v>45946</v>
      </c>
      <c r="B1951" s="2" t="s">
        <v>148</v>
      </c>
      <c r="C1951" s="36" t="s">
        <v>84</v>
      </c>
      <c r="D1951" s="17" t="s">
        <v>1455</v>
      </c>
      <c r="E1951" s="45"/>
      <c r="F1951" s="44"/>
    </row>
    <row r="1952" spans="1:6" x14ac:dyDescent="0.35">
      <c r="A1952" s="88">
        <v>45946</v>
      </c>
      <c r="B1952" s="2" t="s">
        <v>1924</v>
      </c>
      <c r="C1952" s="36" t="s">
        <v>84</v>
      </c>
      <c r="D1952" s="17" t="s">
        <v>2049</v>
      </c>
      <c r="E1952" s="45"/>
      <c r="F1952" s="44"/>
    </row>
    <row r="1953" spans="1:6" x14ac:dyDescent="0.35">
      <c r="A1953" s="88">
        <v>45946</v>
      </c>
      <c r="B1953" s="2" t="s">
        <v>1925</v>
      </c>
      <c r="C1953" s="36" t="s">
        <v>84</v>
      </c>
      <c r="D1953" s="17" t="s">
        <v>1556</v>
      </c>
      <c r="E1953" s="45"/>
      <c r="F1953" s="44"/>
    </row>
    <row r="1954" spans="1:6" x14ac:dyDescent="0.35">
      <c r="A1954" s="88">
        <v>45946</v>
      </c>
      <c r="B1954" s="2" t="s">
        <v>1670</v>
      </c>
      <c r="C1954" s="36" t="s">
        <v>84</v>
      </c>
      <c r="D1954" s="17" t="s">
        <v>1469</v>
      </c>
      <c r="E1954" s="45"/>
      <c r="F1954" s="44"/>
    </row>
    <row r="1955" spans="1:6" x14ac:dyDescent="0.35">
      <c r="A1955" s="88">
        <v>45946</v>
      </c>
      <c r="B1955" s="2" t="s">
        <v>1926</v>
      </c>
      <c r="C1955" s="36" t="s">
        <v>84</v>
      </c>
      <c r="D1955" s="17" t="s">
        <v>1461</v>
      </c>
      <c r="E1955" s="45"/>
      <c r="F1955" s="44"/>
    </row>
    <row r="1956" spans="1:6" x14ac:dyDescent="0.35">
      <c r="A1956" s="88">
        <v>45947</v>
      </c>
      <c r="B1956" s="2" t="s">
        <v>1927</v>
      </c>
      <c r="C1956" s="36" t="s">
        <v>84</v>
      </c>
      <c r="D1956" s="17" t="s">
        <v>2113</v>
      </c>
      <c r="E1956" s="45"/>
      <c r="F1956" s="44"/>
    </row>
    <row r="1957" spans="1:6" x14ac:dyDescent="0.35">
      <c r="A1957" s="88">
        <v>45947</v>
      </c>
      <c r="B1957" s="2" t="s">
        <v>1928</v>
      </c>
      <c r="C1957" s="36" t="s">
        <v>84</v>
      </c>
      <c r="D1957" s="17" t="s">
        <v>2115</v>
      </c>
      <c r="E1957" s="45"/>
      <c r="F1957" s="44"/>
    </row>
    <row r="1958" spans="1:6" x14ac:dyDescent="0.35">
      <c r="A1958" s="88">
        <v>45947</v>
      </c>
      <c r="B1958" s="2" t="s">
        <v>1929</v>
      </c>
      <c r="C1958" s="36" t="s">
        <v>84</v>
      </c>
      <c r="D1958" s="17" t="s">
        <v>2117</v>
      </c>
      <c r="E1958" s="45"/>
      <c r="F1958" s="44"/>
    </row>
    <row r="1959" spans="1:6" x14ac:dyDescent="0.35">
      <c r="A1959" s="88">
        <v>45947</v>
      </c>
      <c r="B1959" s="2" t="s">
        <v>1930</v>
      </c>
      <c r="C1959" s="36" t="s">
        <v>84</v>
      </c>
      <c r="D1959" s="17" t="s">
        <v>1558</v>
      </c>
      <c r="E1959" s="45"/>
      <c r="F1959" s="44"/>
    </row>
    <row r="1960" spans="1:6" x14ac:dyDescent="0.35">
      <c r="A1960" s="88">
        <v>45947</v>
      </c>
      <c r="B1960" s="2" t="s">
        <v>1931</v>
      </c>
      <c r="C1960" s="36" t="s">
        <v>84</v>
      </c>
      <c r="D1960" s="17" t="s">
        <v>2058</v>
      </c>
      <c r="E1960" s="45"/>
      <c r="F1960" s="44"/>
    </row>
    <row r="1961" spans="1:6" x14ac:dyDescent="0.35">
      <c r="A1961" s="88">
        <v>45948</v>
      </c>
      <c r="B1961" s="2" t="s">
        <v>1932</v>
      </c>
      <c r="C1961" s="36" t="s">
        <v>594</v>
      </c>
      <c r="D1961" s="17" t="s">
        <v>2023</v>
      </c>
      <c r="E1961" s="45">
        <v>2594</v>
      </c>
      <c r="F1961" s="44">
        <v>3112.7999999999997</v>
      </c>
    </row>
    <row r="1962" spans="1:6" x14ac:dyDescent="0.35">
      <c r="A1962" s="88">
        <v>45950</v>
      </c>
      <c r="B1962" s="2" t="s">
        <v>1933</v>
      </c>
      <c r="C1962" s="36" t="s">
        <v>84</v>
      </c>
      <c r="D1962" s="17" t="s">
        <v>1609</v>
      </c>
      <c r="E1962" s="45"/>
      <c r="F1962" s="44"/>
    </row>
    <row r="1963" spans="1:6" x14ac:dyDescent="0.35">
      <c r="A1963" s="88">
        <v>45950</v>
      </c>
      <c r="B1963" s="2" t="s">
        <v>1934</v>
      </c>
      <c r="C1963" s="36" t="s">
        <v>84</v>
      </c>
      <c r="D1963" s="17" t="s">
        <v>1558</v>
      </c>
      <c r="E1963" s="45"/>
      <c r="F1963" s="44"/>
    </row>
    <row r="1964" spans="1:6" x14ac:dyDescent="0.35">
      <c r="A1964" s="88">
        <v>45951</v>
      </c>
      <c r="B1964" s="2" t="s">
        <v>1936</v>
      </c>
      <c r="C1964" s="36" t="s">
        <v>594</v>
      </c>
      <c r="D1964" s="17" t="s">
        <v>2024</v>
      </c>
      <c r="E1964" s="45">
        <v>1407.4</v>
      </c>
      <c r="F1964" s="44">
        <v>1688.88</v>
      </c>
    </row>
    <row r="1965" spans="1:6" x14ac:dyDescent="0.35">
      <c r="A1965" s="88">
        <v>45951</v>
      </c>
      <c r="B1965" s="2" t="s">
        <v>1935</v>
      </c>
      <c r="C1965" s="36" t="s">
        <v>84</v>
      </c>
      <c r="D1965" s="17" t="s">
        <v>2118</v>
      </c>
      <c r="E1965" s="45"/>
      <c r="F1965" s="44"/>
    </row>
    <row r="1966" spans="1:6" x14ac:dyDescent="0.35">
      <c r="A1966" s="88">
        <v>45951</v>
      </c>
      <c r="B1966" s="2" t="s">
        <v>1937</v>
      </c>
      <c r="C1966" s="36" t="s">
        <v>84</v>
      </c>
      <c r="D1966" s="17" t="s">
        <v>2066</v>
      </c>
      <c r="E1966" s="45"/>
      <c r="F1966" s="44"/>
    </row>
    <row r="1967" spans="1:6" x14ac:dyDescent="0.35">
      <c r="A1967" s="88">
        <v>45953</v>
      </c>
      <c r="B1967" s="2" t="s">
        <v>1938</v>
      </c>
      <c r="C1967" s="36" t="s">
        <v>84</v>
      </c>
      <c r="D1967" s="17" t="s">
        <v>2108</v>
      </c>
      <c r="E1967" s="45"/>
      <c r="F1967" s="44"/>
    </row>
    <row r="1968" spans="1:6" x14ac:dyDescent="0.35">
      <c r="A1968" s="88">
        <v>45953</v>
      </c>
      <c r="B1968" s="2" t="s">
        <v>1939</v>
      </c>
      <c r="C1968" s="36" t="s">
        <v>84</v>
      </c>
      <c r="D1968" s="17" t="s">
        <v>2066</v>
      </c>
      <c r="E1968" s="45"/>
      <c r="F1968" s="44"/>
    </row>
    <row r="1969" spans="1:6" x14ac:dyDescent="0.35">
      <c r="A1969" s="88">
        <v>45954</v>
      </c>
      <c r="B1969" s="2" t="s">
        <v>1933</v>
      </c>
      <c r="C1969" s="36" t="s">
        <v>84</v>
      </c>
      <c r="D1969" s="17" t="s">
        <v>1609</v>
      </c>
      <c r="E1969" s="45"/>
      <c r="F1969" s="44"/>
    </row>
    <row r="1970" spans="1:6" x14ac:dyDescent="0.35">
      <c r="A1970" s="88">
        <v>45954</v>
      </c>
      <c r="B1970" s="2" t="s">
        <v>1940</v>
      </c>
      <c r="C1970" s="36" t="s">
        <v>84</v>
      </c>
      <c r="D1970" s="17" t="s">
        <v>2027</v>
      </c>
      <c r="E1970" s="45"/>
      <c r="F1970" s="44"/>
    </row>
    <row r="1971" spans="1:6" x14ac:dyDescent="0.35">
      <c r="A1971" s="88">
        <v>45954</v>
      </c>
      <c r="B1971" s="2" t="s">
        <v>1941</v>
      </c>
      <c r="C1971" s="36" t="s">
        <v>84</v>
      </c>
      <c r="D1971" s="17" t="s">
        <v>2030</v>
      </c>
      <c r="E1971" s="45"/>
      <c r="F1971" s="44"/>
    </row>
    <row r="1972" spans="1:6" x14ac:dyDescent="0.35">
      <c r="A1972" s="88">
        <v>45954</v>
      </c>
      <c r="B1972" s="2" t="s">
        <v>1942</v>
      </c>
      <c r="C1972" s="36" t="s">
        <v>84</v>
      </c>
      <c r="D1972" s="17" t="s">
        <v>2119</v>
      </c>
      <c r="E1972" s="45"/>
      <c r="F1972" s="44"/>
    </row>
    <row r="1973" spans="1:6" x14ac:dyDescent="0.35">
      <c r="A1973" s="88">
        <v>45957</v>
      </c>
      <c r="B1973" s="2" t="s">
        <v>1933</v>
      </c>
      <c r="C1973" s="36" t="s">
        <v>84</v>
      </c>
      <c r="D1973" s="17" t="s">
        <v>1609</v>
      </c>
      <c r="E1973" s="45"/>
      <c r="F1973" s="44"/>
    </row>
    <row r="1974" spans="1:6" x14ac:dyDescent="0.35">
      <c r="A1974" s="88">
        <v>45957</v>
      </c>
      <c r="B1974" s="2" t="s">
        <v>1943</v>
      </c>
      <c r="C1974" s="36" t="s">
        <v>84</v>
      </c>
      <c r="D1974" s="17" t="s">
        <v>2118</v>
      </c>
      <c r="E1974" s="45"/>
      <c r="F1974" s="44"/>
    </row>
    <row r="1975" spans="1:6" x14ac:dyDescent="0.35">
      <c r="A1975" s="88">
        <v>45958</v>
      </c>
      <c r="B1975" s="2" t="s">
        <v>1944</v>
      </c>
      <c r="C1975" s="36" t="s">
        <v>84</v>
      </c>
      <c r="D1975" s="17" t="s">
        <v>1116</v>
      </c>
      <c r="E1975" s="45"/>
      <c r="F1975" s="44"/>
    </row>
    <row r="1976" spans="1:6" x14ac:dyDescent="0.35">
      <c r="A1976" s="88">
        <v>45958</v>
      </c>
      <c r="B1976" s="2" t="s">
        <v>1945</v>
      </c>
      <c r="C1976" s="36" t="s">
        <v>84</v>
      </c>
      <c r="D1976" s="17" t="s">
        <v>2120</v>
      </c>
      <c r="E1976" s="45"/>
      <c r="F1976" s="44"/>
    </row>
    <row r="1977" spans="1:6" x14ac:dyDescent="0.35">
      <c r="A1977" s="88">
        <v>45960</v>
      </c>
      <c r="B1977" s="2" t="s">
        <v>1946</v>
      </c>
      <c r="C1977" s="36" t="s">
        <v>84</v>
      </c>
      <c r="D1977" s="17" t="s">
        <v>600</v>
      </c>
      <c r="E1977" s="45"/>
      <c r="F1977" s="44"/>
    </row>
    <row r="1978" spans="1:6" x14ac:dyDescent="0.35">
      <c r="A1978" s="88">
        <v>45964</v>
      </c>
      <c r="B1978" s="2" t="s">
        <v>1947</v>
      </c>
      <c r="C1978" s="36" t="s">
        <v>84</v>
      </c>
      <c r="D1978" s="17" t="s">
        <v>1558</v>
      </c>
      <c r="E1978" s="45"/>
      <c r="F1978" s="44"/>
    </row>
    <row r="1979" spans="1:6" x14ac:dyDescent="0.35">
      <c r="A1979" s="88">
        <v>45964</v>
      </c>
      <c r="B1979" s="2" t="s">
        <v>1948</v>
      </c>
      <c r="C1979" s="36" t="s">
        <v>84</v>
      </c>
      <c r="D1979" s="17" t="s">
        <v>1609</v>
      </c>
      <c r="E1979" s="45"/>
      <c r="F1979" s="44"/>
    </row>
    <row r="1980" spans="1:6" x14ac:dyDescent="0.35">
      <c r="A1980" s="88">
        <v>45964</v>
      </c>
      <c r="B1980" s="2" t="s">
        <v>1949</v>
      </c>
      <c r="C1980" s="36" t="s">
        <v>84</v>
      </c>
      <c r="D1980" s="17" t="s">
        <v>2115</v>
      </c>
      <c r="E1980" s="45"/>
      <c r="F1980" s="44"/>
    </row>
    <row r="1981" spans="1:6" x14ac:dyDescent="0.35">
      <c r="A1981" s="88">
        <v>45964</v>
      </c>
      <c r="B1981" s="2" t="s">
        <v>1254</v>
      </c>
      <c r="C1981" s="36" t="s">
        <v>84</v>
      </c>
      <c r="D1981" s="17" t="s">
        <v>2027</v>
      </c>
      <c r="E1981" s="45"/>
      <c r="F1981" s="44"/>
    </row>
    <row r="1982" spans="1:6" x14ac:dyDescent="0.35">
      <c r="A1982" s="88">
        <v>45964</v>
      </c>
      <c r="B1982" s="2" t="s">
        <v>1950</v>
      </c>
      <c r="C1982" s="36" t="s">
        <v>84</v>
      </c>
      <c r="D1982" s="17" t="s">
        <v>2121</v>
      </c>
      <c r="E1982" s="45"/>
      <c r="F1982" s="44"/>
    </row>
    <row r="1983" spans="1:6" x14ac:dyDescent="0.35">
      <c r="A1983" s="88">
        <v>45964</v>
      </c>
      <c r="B1983" s="2" t="s">
        <v>1951</v>
      </c>
      <c r="C1983" s="36" t="s">
        <v>84</v>
      </c>
      <c r="D1983" s="17" t="s">
        <v>1558</v>
      </c>
      <c r="E1983" s="45"/>
      <c r="F1983" s="44"/>
    </row>
    <row r="1984" spans="1:6" x14ac:dyDescent="0.35">
      <c r="A1984" s="88">
        <v>45964</v>
      </c>
      <c r="B1984" s="2" t="s">
        <v>1712</v>
      </c>
      <c r="C1984" s="36" t="s">
        <v>84</v>
      </c>
      <c r="D1984" s="17" t="s">
        <v>2108</v>
      </c>
      <c r="E1984" s="45"/>
      <c r="F1984" s="44"/>
    </row>
    <row r="1985" spans="1:6" x14ac:dyDescent="0.35">
      <c r="A1985" s="88">
        <v>45965</v>
      </c>
      <c r="B1985" s="2" t="s">
        <v>1952</v>
      </c>
      <c r="C1985" s="36" t="s">
        <v>84</v>
      </c>
      <c r="D1985" s="17" t="s">
        <v>2122</v>
      </c>
      <c r="E1985" s="45"/>
      <c r="F1985" s="44"/>
    </row>
    <row r="1986" spans="1:6" x14ac:dyDescent="0.35">
      <c r="A1986" s="88">
        <v>45966</v>
      </c>
      <c r="B1986" s="2" t="s">
        <v>1953</v>
      </c>
      <c r="C1986" s="36" t="s">
        <v>2004</v>
      </c>
      <c r="D1986" s="17" t="s">
        <v>2012</v>
      </c>
      <c r="E1986" s="45">
        <v>4270.8599999999997</v>
      </c>
      <c r="F1986" s="44">
        <v>5125.0319999999992</v>
      </c>
    </row>
    <row r="1987" spans="1:6" x14ac:dyDescent="0.35">
      <c r="A1987" s="88">
        <v>45967</v>
      </c>
      <c r="B1987" s="2" t="s">
        <v>1954</v>
      </c>
      <c r="C1987" s="36" t="s">
        <v>229</v>
      </c>
      <c r="D1987" s="17" t="s">
        <v>2015</v>
      </c>
      <c r="E1987" s="45">
        <v>14270.86</v>
      </c>
      <c r="F1987" s="44">
        <v>17125.031999999999</v>
      </c>
    </row>
    <row r="1988" spans="1:6" x14ac:dyDescent="0.35">
      <c r="A1988" s="88">
        <v>45967</v>
      </c>
      <c r="B1988" s="2" t="s">
        <v>1670</v>
      </c>
      <c r="C1988" s="36" t="s">
        <v>84</v>
      </c>
      <c r="D1988" s="17" t="s">
        <v>1469</v>
      </c>
      <c r="E1988" s="45"/>
      <c r="F1988" s="44"/>
    </row>
    <row r="1989" spans="1:6" x14ac:dyDescent="0.35">
      <c r="A1989" s="88">
        <v>45968</v>
      </c>
      <c r="B1989" s="2" t="s">
        <v>1373</v>
      </c>
      <c r="C1989" s="36" t="s">
        <v>84</v>
      </c>
      <c r="D1989" s="17" t="s">
        <v>1109</v>
      </c>
      <c r="E1989" s="45"/>
      <c r="F1989" s="44"/>
    </row>
    <row r="1990" spans="1:6" x14ac:dyDescent="0.35">
      <c r="A1990" s="88">
        <v>45971</v>
      </c>
      <c r="B1990" s="2" t="s">
        <v>1949</v>
      </c>
      <c r="C1990" s="36" t="s">
        <v>84</v>
      </c>
      <c r="D1990" s="17" t="s">
        <v>2115</v>
      </c>
      <c r="E1990" s="45"/>
      <c r="F1990" s="44"/>
    </row>
    <row r="1991" spans="1:6" x14ac:dyDescent="0.35">
      <c r="A1991" s="88">
        <v>45971</v>
      </c>
      <c r="B1991" s="2" t="s">
        <v>1254</v>
      </c>
      <c r="C1991" s="36" t="s">
        <v>84</v>
      </c>
      <c r="D1991" s="17" t="s">
        <v>2027</v>
      </c>
      <c r="E1991" s="45"/>
      <c r="F1991" s="44"/>
    </row>
    <row r="1992" spans="1:6" x14ac:dyDescent="0.35">
      <c r="A1992" s="88">
        <v>45974</v>
      </c>
      <c r="B1992" s="2" t="s">
        <v>1955</v>
      </c>
      <c r="C1992" s="36" t="s">
        <v>84</v>
      </c>
      <c r="D1992" s="17" t="s">
        <v>2123</v>
      </c>
      <c r="E1992" s="45"/>
      <c r="F1992" s="44"/>
    </row>
    <row r="1993" spans="1:6" x14ac:dyDescent="0.35">
      <c r="A1993" s="88">
        <v>45975</v>
      </c>
      <c r="B1993" s="2" t="s">
        <v>1956</v>
      </c>
      <c r="C1993" s="36" t="s">
        <v>84</v>
      </c>
      <c r="D1993" s="17" t="s">
        <v>2077</v>
      </c>
      <c r="E1993" s="45"/>
      <c r="F1993" s="44"/>
    </row>
    <row r="1994" spans="1:6" x14ac:dyDescent="0.35">
      <c r="A1994" s="88">
        <v>45975</v>
      </c>
      <c r="B1994" s="2" t="s">
        <v>1957</v>
      </c>
      <c r="C1994" s="36" t="s">
        <v>84</v>
      </c>
      <c r="D1994" s="17" t="s">
        <v>2088</v>
      </c>
      <c r="E1994" s="45"/>
      <c r="F1994" s="44"/>
    </row>
    <row r="1995" spans="1:6" x14ac:dyDescent="0.35">
      <c r="A1995" s="88">
        <v>45978</v>
      </c>
      <c r="B1995" s="2" t="s">
        <v>1836</v>
      </c>
      <c r="C1995" s="36" t="s">
        <v>84</v>
      </c>
      <c r="D1995" s="17" t="s">
        <v>1089</v>
      </c>
      <c r="E1995" s="45"/>
      <c r="F1995" s="44"/>
    </row>
    <row r="1996" spans="1:6" x14ac:dyDescent="0.35">
      <c r="A1996" s="88">
        <v>45978</v>
      </c>
      <c r="B1996" s="2" t="s">
        <v>1958</v>
      </c>
      <c r="C1996" s="36" t="s">
        <v>84</v>
      </c>
      <c r="D1996" s="17" t="s">
        <v>1609</v>
      </c>
      <c r="E1996" s="45"/>
      <c r="F1996" s="44"/>
    </row>
    <row r="1997" spans="1:6" x14ac:dyDescent="0.35">
      <c r="A1997" s="88">
        <v>45978</v>
      </c>
      <c r="B1997" s="2" t="s">
        <v>1959</v>
      </c>
      <c r="C1997" s="36" t="s">
        <v>84</v>
      </c>
      <c r="D1997" s="17" t="s">
        <v>2108</v>
      </c>
      <c r="E1997" s="45"/>
      <c r="F1997" s="44"/>
    </row>
    <row r="1998" spans="1:6" x14ac:dyDescent="0.35">
      <c r="A1998" s="88">
        <v>45978</v>
      </c>
      <c r="B1998" s="2" t="s">
        <v>1949</v>
      </c>
      <c r="C1998" s="36" t="s">
        <v>84</v>
      </c>
      <c r="D1998" s="17" t="s">
        <v>2115</v>
      </c>
      <c r="E1998" s="45"/>
      <c r="F1998" s="44"/>
    </row>
    <row r="1999" spans="1:6" x14ac:dyDescent="0.35">
      <c r="A1999" s="88">
        <v>45978</v>
      </c>
      <c r="B1999" s="2" t="s">
        <v>1254</v>
      </c>
      <c r="C1999" s="36" t="s">
        <v>84</v>
      </c>
      <c r="D1999" s="17" t="s">
        <v>2027</v>
      </c>
      <c r="E1999" s="45"/>
      <c r="F1999" s="44"/>
    </row>
    <row r="2000" spans="1:6" x14ac:dyDescent="0.35">
      <c r="A2000" s="88">
        <v>45978</v>
      </c>
      <c r="B2000" s="2" t="s">
        <v>1960</v>
      </c>
      <c r="C2000" s="36" t="s">
        <v>84</v>
      </c>
      <c r="D2000" s="17" t="s">
        <v>1558</v>
      </c>
      <c r="E2000" s="45"/>
      <c r="F2000" s="44"/>
    </row>
    <row r="2001" spans="1:6" x14ac:dyDescent="0.35">
      <c r="A2001" s="88">
        <v>45978</v>
      </c>
      <c r="B2001" s="2" t="s">
        <v>1712</v>
      </c>
      <c r="C2001" s="36" t="s">
        <v>84</v>
      </c>
      <c r="D2001" s="17" t="s">
        <v>2108</v>
      </c>
      <c r="E2001" s="45"/>
      <c r="F2001" s="44"/>
    </row>
    <row r="2002" spans="1:6" x14ac:dyDescent="0.35">
      <c r="A2002" s="88">
        <v>45978</v>
      </c>
      <c r="B2002" s="2" t="s">
        <v>1961</v>
      </c>
      <c r="C2002" s="36" t="s">
        <v>84</v>
      </c>
      <c r="D2002" s="17" t="s">
        <v>2066</v>
      </c>
      <c r="E2002" s="45"/>
      <c r="F2002" s="44"/>
    </row>
    <row r="2003" spans="1:6" x14ac:dyDescent="0.35">
      <c r="A2003" s="88">
        <v>45979</v>
      </c>
      <c r="B2003" s="2" t="s">
        <v>1962</v>
      </c>
      <c r="C2003" s="36" t="s">
        <v>84</v>
      </c>
      <c r="D2003" s="17" t="s">
        <v>2124</v>
      </c>
      <c r="E2003" s="45">
        <v>270.86</v>
      </c>
      <c r="F2003" s="44">
        <v>325.03199999999998</v>
      </c>
    </row>
    <row r="2004" spans="1:6" x14ac:dyDescent="0.35">
      <c r="A2004" s="88">
        <v>45980</v>
      </c>
      <c r="B2004" s="2" t="s">
        <v>1963</v>
      </c>
      <c r="C2004" s="36" t="s">
        <v>84</v>
      </c>
      <c r="D2004" s="17" t="s">
        <v>2125</v>
      </c>
      <c r="E2004" s="45"/>
      <c r="F2004" s="44"/>
    </row>
    <row r="2005" spans="1:6" x14ac:dyDescent="0.35">
      <c r="A2005" s="88">
        <v>45981</v>
      </c>
      <c r="B2005" s="2" t="s">
        <v>1964</v>
      </c>
      <c r="C2005" s="36" t="s">
        <v>84</v>
      </c>
      <c r="D2005" s="17" t="s">
        <v>795</v>
      </c>
      <c r="E2005" s="45">
        <v>406.3</v>
      </c>
      <c r="F2005" s="44">
        <v>487.56</v>
      </c>
    </row>
    <row r="2006" spans="1:6" x14ac:dyDescent="0.35">
      <c r="A2006" s="88">
        <v>45981</v>
      </c>
      <c r="B2006" s="2" t="s">
        <v>1670</v>
      </c>
      <c r="C2006" s="36" t="s">
        <v>84</v>
      </c>
      <c r="D2006" s="17" t="s">
        <v>1469</v>
      </c>
      <c r="E2006" s="45"/>
      <c r="F2006" s="44"/>
    </row>
    <row r="2007" spans="1:6" x14ac:dyDescent="0.35">
      <c r="A2007" s="88">
        <v>45981</v>
      </c>
      <c r="B2007" s="2" t="s">
        <v>1965</v>
      </c>
      <c r="C2007" s="36" t="s">
        <v>84</v>
      </c>
      <c r="D2007" s="17" t="s">
        <v>600</v>
      </c>
      <c r="E2007" s="45"/>
      <c r="F2007" s="44"/>
    </row>
    <row r="2008" spans="1:6" x14ac:dyDescent="0.35">
      <c r="A2008" s="88">
        <v>45982</v>
      </c>
      <c r="B2008" s="2" t="s">
        <v>1969</v>
      </c>
      <c r="C2008" s="36" t="s">
        <v>594</v>
      </c>
      <c r="D2008" s="17" t="s">
        <v>2025</v>
      </c>
      <c r="E2008" s="45">
        <v>1237.5999999999999</v>
      </c>
      <c r="F2008" s="44">
        <v>1485.12</v>
      </c>
    </row>
    <row r="2009" spans="1:6" x14ac:dyDescent="0.35">
      <c r="A2009" s="88">
        <v>45982</v>
      </c>
      <c r="B2009" s="2" t="s">
        <v>1966</v>
      </c>
      <c r="C2009" s="36" t="s">
        <v>84</v>
      </c>
      <c r="D2009" s="17" t="s">
        <v>2115</v>
      </c>
      <c r="E2009" s="45"/>
      <c r="F2009" s="44"/>
    </row>
    <row r="2010" spans="1:6" x14ac:dyDescent="0.35">
      <c r="A2010" s="88">
        <v>45982</v>
      </c>
      <c r="B2010" s="2" t="s">
        <v>1967</v>
      </c>
      <c r="C2010" s="36" t="s">
        <v>84</v>
      </c>
      <c r="D2010" s="17" t="s">
        <v>1558</v>
      </c>
      <c r="E2010" s="45"/>
      <c r="F2010" s="44"/>
    </row>
    <row r="2011" spans="1:6" x14ac:dyDescent="0.35">
      <c r="A2011" s="88">
        <v>45982</v>
      </c>
      <c r="B2011" s="2" t="s">
        <v>1968</v>
      </c>
      <c r="C2011" s="36" t="s">
        <v>84</v>
      </c>
      <c r="D2011" s="17" t="s">
        <v>2126</v>
      </c>
      <c r="E2011" s="45"/>
      <c r="F2011" s="44"/>
    </row>
    <row r="2012" spans="1:6" x14ac:dyDescent="0.35">
      <c r="A2012" s="88">
        <v>45987</v>
      </c>
      <c r="B2012" s="2" t="s">
        <v>1970</v>
      </c>
      <c r="C2012" s="36" t="s">
        <v>594</v>
      </c>
      <c r="D2012" s="17" t="s">
        <v>2026</v>
      </c>
      <c r="E2012" s="45">
        <v>1083.33</v>
      </c>
      <c r="F2012" s="44">
        <v>1299.9959999999999</v>
      </c>
    </row>
    <row r="2013" spans="1:6" x14ac:dyDescent="0.35">
      <c r="A2013" s="88">
        <v>45988</v>
      </c>
      <c r="B2013" s="2" t="s">
        <v>1971</v>
      </c>
      <c r="C2013" s="36" t="s">
        <v>2004</v>
      </c>
      <c r="D2013" s="17" t="s">
        <v>2013</v>
      </c>
      <c r="E2013" s="45">
        <v>4670.8599999999997</v>
      </c>
      <c r="F2013" s="44">
        <v>5605.0319999999992</v>
      </c>
    </row>
    <row r="2014" spans="1:6" x14ac:dyDescent="0.35">
      <c r="A2014" s="88">
        <v>45989</v>
      </c>
      <c r="B2014" s="2" t="s">
        <v>1972</v>
      </c>
      <c r="C2014" s="36" t="s">
        <v>84</v>
      </c>
      <c r="D2014" s="17" t="s">
        <v>1565</v>
      </c>
      <c r="E2014" s="45">
        <v>0</v>
      </c>
      <c r="F2014" s="44">
        <v>0</v>
      </c>
    </row>
    <row r="2015" spans="1:6" x14ac:dyDescent="0.35">
      <c r="A2015" s="88">
        <v>45990</v>
      </c>
      <c r="B2015" s="2" t="s">
        <v>689</v>
      </c>
      <c r="C2015" s="36" t="s">
        <v>84</v>
      </c>
      <c r="D2015" s="17" t="s">
        <v>1614</v>
      </c>
      <c r="E2015" s="45">
        <v>0</v>
      </c>
      <c r="F2015" s="44">
        <v>0</v>
      </c>
    </row>
    <row r="2016" spans="1:6" x14ac:dyDescent="0.35">
      <c r="A2016" s="88">
        <v>45992</v>
      </c>
      <c r="B2016" s="2" t="s">
        <v>1973</v>
      </c>
      <c r="C2016" s="36" t="s">
        <v>84</v>
      </c>
      <c r="D2016" s="17" t="s">
        <v>1558</v>
      </c>
      <c r="E2016" s="45"/>
      <c r="F2016" s="44"/>
    </row>
    <row r="2017" spans="1:6" x14ac:dyDescent="0.35">
      <c r="A2017" s="88">
        <v>45992</v>
      </c>
      <c r="B2017" s="2" t="s">
        <v>1974</v>
      </c>
      <c r="C2017" s="36" t="s">
        <v>84</v>
      </c>
      <c r="D2017" s="17" t="s">
        <v>2127</v>
      </c>
      <c r="E2017" s="45">
        <v>0</v>
      </c>
      <c r="F2017" s="44">
        <v>0</v>
      </c>
    </row>
    <row r="2018" spans="1:6" x14ac:dyDescent="0.35">
      <c r="A2018" s="88">
        <v>45992</v>
      </c>
      <c r="B2018" s="2" t="s">
        <v>1975</v>
      </c>
      <c r="C2018" s="36" t="s">
        <v>84</v>
      </c>
      <c r="D2018" s="17" t="s">
        <v>597</v>
      </c>
      <c r="E2018" s="45"/>
      <c r="F2018" s="44"/>
    </row>
    <row r="2019" spans="1:6" x14ac:dyDescent="0.35">
      <c r="A2019" s="88">
        <v>45992</v>
      </c>
      <c r="B2019" s="2" t="s">
        <v>1976</v>
      </c>
      <c r="C2019" s="36" t="s">
        <v>84</v>
      </c>
      <c r="D2019" s="17" t="s">
        <v>2128</v>
      </c>
      <c r="E2019" s="45"/>
      <c r="F2019" s="44"/>
    </row>
    <row r="2020" spans="1:6" x14ac:dyDescent="0.35">
      <c r="A2020" s="88">
        <v>45993</v>
      </c>
      <c r="B2020" s="2" t="s">
        <v>1655</v>
      </c>
      <c r="C2020" s="36" t="s">
        <v>2004</v>
      </c>
      <c r="D2020" s="17" t="s">
        <v>2014</v>
      </c>
      <c r="E2020" s="45">
        <v>3935.43</v>
      </c>
      <c r="F2020" s="44">
        <v>4722.5159999999996</v>
      </c>
    </row>
    <row r="2021" spans="1:6" x14ac:dyDescent="0.35">
      <c r="A2021" s="88">
        <v>45993</v>
      </c>
      <c r="B2021" s="2" t="s">
        <v>1655</v>
      </c>
      <c r="C2021" s="36" t="s">
        <v>84</v>
      </c>
      <c r="D2021" s="17" t="s">
        <v>2014</v>
      </c>
      <c r="E2021" s="45">
        <v>3935.43</v>
      </c>
      <c r="F2021" s="44">
        <v>4722.5159999999996</v>
      </c>
    </row>
    <row r="2022" spans="1:6" x14ac:dyDescent="0.35">
      <c r="A2022" s="88">
        <v>45993</v>
      </c>
      <c r="B2022" s="2" t="s">
        <v>1977</v>
      </c>
      <c r="C2022" s="36" t="s">
        <v>84</v>
      </c>
      <c r="D2022" s="17" t="s">
        <v>2129</v>
      </c>
      <c r="E2022" s="45"/>
      <c r="F2022" s="44"/>
    </row>
    <row r="2023" spans="1:6" x14ac:dyDescent="0.35">
      <c r="A2023" s="88">
        <v>45994</v>
      </c>
      <c r="B2023" s="2" t="s">
        <v>1978</v>
      </c>
      <c r="C2023" s="36" t="s">
        <v>84</v>
      </c>
      <c r="D2023" s="17" t="s">
        <v>1558</v>
      </c>
      <c r="E2023" s="45"/>
      <c r="F2023" s="44"/>
    </row>
    <row r="2024" spans="1:6" x14ac:dyDescent="0.35">
      <c r="A2024" s="88">
        <v>45995</v>
      </c>
      <c r="B2024" s="2" t="s">
        <v>1979</v>
      </c>
      <c r="C2024" s="36" t="s">
        <v>84</v>
      </c>
      <c r="D2024" s="17" t="s">
        <v>2089</v>
      </c>
      <c r="E2024" s="45">
        <v>135.43</v>
      </c>
      <c r="F2024" s="44">
        <v>162.51599999999999</v>
      </c>
    </row>
    <row r="2025" spans="1:6" x14ac:dyDescent="0.35">
      <c r="A2025" s="88">
        <v>45995</v>
      </c>
      <c r="B2025" s="2" t="s">
        <v>1980</v>
      </c>
      <c r="C2025" s="36" t="s">
        <v>84</v>
      </c>
      <c r="D2025" s="17" t="s">
        <v>2084</v>
      </c>
      <c r="E2025" s="45">
        <v>0</v>
      </c>
      <c r="F2025" s="44">
        <v>0</v>
      </c>
    </row>
    <row r="2026" spans="1:6" x14ac:dyDescent="0.35">
      <c r="A2026" s="88">
        <v>45996</v>
      </c>
      <c r="B2026" s="2" t="s">
        <v>1981</v>
      </c>
      <c r="C2026" s="36" t="s">
        <v>84</v>
      </c>
      <c r="D2026" s="17" t="s">
        <v>1585</v>
      </c>
      <c r="E2026" s="45"/>
      <c r="F2026" s="44"/>
    </row>
    <row r="2027" spans="1:6" x14ac:dyDescent="0.35">
      <c r="A2027" s="88">
        <v>45996</v>
      </c>
      <c r="B2027" s="2" t="s">
        <v>1319</v>
      </c>
      <c r="C2027" s="36" t="s">
        <v>84</v>
      </c>
      <c r="D2027" s="17" t="s">
        <v>2130</v>
      </c>
      <c r="E2027" s="45"/>
      <c r="F2027" s="44"/>
    </row>
    <row r="2028" spans="1:6" x14ac:dyDescent="0.35">
      <c r="A2028" s="88">
        <v>45996</v>
      </c>
      <c r="B2028" s="2" t="s">
        <v>1982</v>
      </c>
      <c r="C2028" s="36" t="s">
        <v>84</v>
      </c>
      <c r="D2028" s="17" t="s">
        <v>2131</v>
      </c>
      <c r="E2028" s="45">
        <v>0</v>
      </c>
      <c r="F2028" s="44">
        <v>0</v>
      </c>
    </row>
    <row r="2029" spans="1:6" x14ac:dyDescent="0.35">
      <c r="A2029" s="88">
        <v>45999</v>
      </c>
      <c r="B2029" s="2" t="s">
        <v>1983</v>
      </c>
      <c r="C2029" s="36" t="s">
        <v>84</v>
      </c>
      <c r="D2029" s="17" t="s">
        <v>2027</v>
      </c>
      <c r="E2029" s="45">
        <v>90.53</v>
      </c>
      <c r="F2029" s="44">
        <v>108.636</v>
      </c>
    </row>
    <row r="2030" spans="1:6" x14ac:dyDescent="0.35">
      <c r="A2030" s="88">
        <v>45999</v>
      </c>
      <c r="B2030" s="2" t="s">
        <v>1984</v>
      </c>
      <c r="C2030" s="36" t="s">
        <v>84</v>
      </c>
      <c r="D2030" s="17" t="s">
        <v>1565</v>
      </c>
      <c r="E2030" s="45"/>
      <c r="F2030" s="44"/>
    </row>
    <row r="2031" spans="1:6" x14ac:dyDescent="0.35">
      <c r="A2031" s="88">
        <v>46000</v>
      </c>
      <c r="B2031" s="2" t="s">
        <v>1985</v>
      </c>
      <c r="C2031" s="36" t="s">
        <v>84</v>
      </c>
      <c r="D2031" s="17" t="s">
        <v>2132</v>
      </c>
      <c r="E2031" s="45"/>
      <c r="F2031" s="44"/>
    </row>
    <row r="2032" spans="1:6" x14ac:dyDescent="0.35">
      <c r="A2032" s="88">
        <v>46000</v>
      </c>
      <c r="B2032" s="2" t="s">
        <v>1986</v>
      </c>
      <c r="C2032" s="36" t="s">
        <v>84</v>
      </c>
      <c r="D2032" s="17" t="s">
        <v>2127</v>
      </c>
      <c r="E2032" s="45"/>
      <c r="F2032" s="44"/>
    </row>
    <row r="2033" spans="1:6" x14ac:dyDescent="0.35">
      <c r="A2033" s="88">
        <v>46000</v>
      </c>
      <c r="B2033" s="2" t="s">
        <v>1913</v>
      </c>
      <c r="C2033" s="36" t="s">
        <v>84</v>
      </c>
      <c r="D2033" s="17" t="s">
        <v>1565</v>
      </c>
      <c r="E2033" s="45"/>
      <c r="F2033" s="44"/>
    </row>
    <row r="2034" spans="1:6" x14ac:dyDescent="0.35">
      <c r="A2034" s="88">
        <v>46001</v>
      </c>
      <c r="B2034" s="2" t="s">
        <v>1988</v>
      </c>
      <c r="C2034" s="36" t="s">
        <v>229</v>
      </c>
      <c r="D2034" s="17" t="s">
        <v>2016</v>
      </c>
      <c r="E2034" s="45">
        <v>500</v>
      </c>
      <c r="F2034" s="44">
        <v>600</v>
      </c>
    </row>
    <row r="2035" spans="1:6" x14ac:dyDescent="0.35">
      <c r="A2035" s="88">
        <v>46001</v>
      </c>
      <c r="B2035" s="2" t="s">
        <v>1987</v>
      </c>
      <c r="C2035" s="36" t="s">
        <v>84</v>
      </c>
      <c r="D2035" s="17" t="s">
        <v>2133</v>
      </c>
      <c r="E2035" s="45"/>
      <c r="F2035" s="44"/>
    </row>
    <row r="2036" spans="1:6" x14ac:dyDescent="0.35">
      <c r="A2036" s="88">
        <v>46002</v>
      </c>
      <c r="B2036" s="2" t="s">
        <v>1989</v>
      </c>
      <c r="C2036" s="36" t="s">
        <v>84</v>
      </c>
      <c r="D2036" s="17" t="s">
        <v>2113</v>
      </c>
      <c r="E2036" s="45">
        <v>0</v>
      </c>
      <c r="F2036" s="44">
        <v>0</v>
      </c>
    </row>
    <row r="2037" spans="1:6" x14ac:dyDescent="0.35">
      <c r="A2037" s="88">
        <v>46002</v>
      </c>
      <c r="B2037" s="2" t="s">
        <v>1990</v>
      </c>
      <c r="C2037" s="36" t="s">
        <v>84</v>
      </c>
      <c r="D2037" s="17" t="s">
        <v>2134</v>
      </c>
      <c r="E2037" s="45">
        <v>0</v>
      </c>
      <c r="F2037" s="44">
        <v>0</v>
      </c>
    </row>
    <row r="2038" spans="1:6" x14ac:dyDescent="0.35">
      <c r="A2038" s="88">
        <v>46002</v>
      </c>
      <c r="B2038" s="2" t="s">
        <v>1991</v>
      </c>
      <c r="C2038" s="36" t="s">
        <v>84</v>
      </c>
      <c r="D2038" s="17" t="s">
        <v>2065</v>
      </c>
      <c r="E2038" s="45"/>
      <c r="F2038" s="44">
        <v>0</v>
      </c>
    </row>
    <row r="2039" spans="1:6" x14ac:dyDescent="0.35">
      <c r="A2039" s="88">
        <v>46003</v>
      </c>
      <c r="B2039" s="2" t="s">
        <v>1992</v>
      </c>
      <c r="C2039" s="36" t="s">
        <v>84</v>
      </c>
      <c r="D2039" s="17" t="s">
        <v>2027</v>
      </c>
      <c r="E2039" s="45">
        <v>0</v>
      </c>
      <c r="F2039" s="44">
        <v>0</v>
      </c>
    </row>
    <row r="2040" spans="1:6" x14ac:dyDescent="0.35">
      <c r="A2040" s="88">
        <v>46003</v>
      </c>
      <c r="B2040" s="2" t="s">
        <v>1246</v>
      </c>
      <c r="C2040" s="36" t="s">
        <v>84</v>
      </c>
      <c r="D2040" s="17" t="s">
        <v>2135</v>
      </c>
      <c r="E2040" s="45">
        <v>0</v>
      </c>
      <c r="F2040" s="44">
        <v>0</v>
      </c>
    </row>
    <row r="2041" spans="1:6" x14ac:dyDescent="0.35">
      <c r="A2041" s="88">
        <v>46003</v>
      </c>
      <c r="B2041" s="2" t="s">
        <v>1993</v>
      </c>
      <c r="C2041" s="36" t="s">
        <v>84</v>
      </c>
      <c r="D2041" s="17" t="s">
        <v>2136</v>
      </c>
      <c r="E2041" s="45">
        <v>0</v>
      </c>
      <c r="F2041" s="44">
        <v>0</v>
      </c>
    </row>
    <row r="2042" spans="1:6" x14ac:dyDescent="0.35">
      <c r="A2042" s="88">
        <v>46003</v>
      </c>
      <c r="B2042" s="2" t="s">
        <v>1981</v>
      </c>
      <c r="C2042" s="36" t="s">
        <v>84</v>
      </c>
      <c r="D2042" s="17" t="s">
        <v>1585</v>
      </c>
      <c r="E2042" s="45">
        <v>0</v>
      </c>
      <c r="F2042" s="44">
        <v>0</v>
      </c>
    </row>
    <row r="2043" spans="1:6" x14ac:dyDescent="0.35">
      <c r="A2043" s="88">
        <v>46006</v>
      </c>
      <c r="B2043" s="2" t="s">
        <v>1994</v>
      </c>
      <c r="C2043" s="36" t="s">
        <v>84</v>
      </c>
      <c r="D2043" s="17" t="s">
        <v>2134</v>
      </c>
      <c r="E2043" s="45">
        <v>0</v>
      </c>
      <c r="F2043" s="44">
        <v>0</v>
      </c>
    </row>
    <row r="2044" spans="1:6" x14ac:dyDescent="0.35">
      <c r="A2044" s="88">
        <v>46007</v>
      </c>
      <c r="B2044" s="2" t="s">
        <v>1397</v>
      </c>
      <c r="C2044" s="36" t="s">
        <v>2004</v>
      </c>
      <c r="D2044" s="17" t="s">
        <v>1103</v>
      </c>
      <c r="E2044" s="45">
        <v>2949.49</v>
      </c>
      <c r="F2044" s="44">
        <v>3539.3879999999995</v>
      </c>
    </row>
    <row r="2045" spans="1:6" x14ac:dyDescent="0.35">
      <c r="A2045" s="88">
        <v>46007</v>
      </c>
      <c r="B2045" s="2" t="s">
        <v>1995</v>
      </c>
      <c r="C2045" s="36" t="s">
        <v>84</v>
      </c>
      <c r="D2045" s="17" t="s">
        <v>2137</v>
      </c>
      <c r="E2045" s="45">
        <v>0</v>
      </c>
      <c r="F2045" s="44">
        <v>0</v>
      </c>
    </row>
    <row r="2046" spans="1:6" x14ac:dyDescent="0.35">
      <c r="A2046" s="88">
        <v>46008</v>
      </c>
      <c r="B2046" s="2" t="s">
        <v>1273</v>
      </c>
      <c r="C2046" s="36" t="s">
        <v>84</v>
      </c>
      <c r="D2046" s="17" t="s">
        <v>2065</v>
      </c>
      <c r="E2046" s="45">
        <v>0</v>
      </c>
      <c r="F2046" s="44">
        <v>0</v>
      </c>
    </row>
    <row r="2047" spans="1:6" x14ac:dyDescent="0.35">
      <c r="A2047" s="88">
        <v>46008</v>
      </c>
      <c r="B2047" s="2" t="s">
        <v>1996</v>
      </c>
      <c r="C2047" s="36" t="s">
        <v>84</v>
      </c>
      <c r="D2047" s="17" t="s">
        <v>2134</v>
      </c>
      <c r="E2047" s="45">
        <v>0</v>
      </c>
      <c r="F2047" s="44">
        <v>0</v>
      </c>
    </row>
    <row r="2048" spans="1:6" x14ac:dyDescent="0.35">
      <c r="A2048" s="88">
        <v>46008</v>
      </c>
      <c r="B2048" s="2" t="s">
        <v>1997</v>
      </c>
      <c r="C2048" s="36" t="s">
        <v>84</v>
      </c>
      <c r="D2048" s="17" t="s">
        <v>1585</v>
      </c>
      <c r="E2048" s="45">
        <v>0</v>
      </c>
      <c r="F2048" s="44">
        <v>0</v>
      </c>
    </row>
    <row r="2049" spans="1:6" x14ac:dyDescent="0.35">
      <c r="A2049" s="88">
        <v>46008</v>
      </c>
      <c r="B2049" s="2" t="s">
        <v>1998</v>
      </c>
      <c r="C2049" s="36" t="s">
        <v>84</v>
      </c>
      <c r="D2049" s="17" t="s">
        <v>1609</v>
      </c>
      <c r="E2049" s="45">
        <v>0</v>
      </c>
      <c r="F2049" s="44">
        <v>0</v>
      </c>
    </row>
    <row r="2050" spans="1:6" x14ac:dyDescent="0.35">
      <c r="A2050" s="88">
        <v>46008</v>
      </c>
      <c r="B2050" s="2" t="s">
        <v>1999</v>
      </c>
      <c r="C2050" s="36" t="s">
        <v>84</v>
      </c>
      <c r="D2050" s="17" t="s">
        <v>1609</v>
      </c>
      <c r="E2050" s="45">
        <v>0</v>
      </c>
      <c r="F2050" s="44">
        <v>0</v>
      </c>
    </row>
    <row r="2051" spans="1:6" x14ac:dyDescent="0.35">
      <c r="A2051" s="88">
        <v>46009</v>
      </c>
      <c r="B2051" s="2" t="s">
        <v>2000</v>
      </c>
      <c r="C2051" s="36" t="s">
        <v>84</v>
      </c>
      <c r="D2051" s="17" t="s">
        <v>2127</v>
      </c>
      <c r="E2051" s="45">
        <v>0</v>
      </c>
      <c r="F2051" s="44">
        <v>0</v>
      </c>
    </row>
    <row r="2052" spans="1:6" x14ac:dyDescent="0.35">
      <c r="A2052" s="88">
        <v>46009</v>
      </c>
      <c r="B2052" s="2" t="s">
        <v>2001</v>
      </c>
      <c r="C2052" s="36" t="s">
        <v>84</v>
      </c>
      <c r="D2052" s="17" t="s">
        <v>2138</v>
      </c>
      <c r="E2052" s="45">
        <v>0</v>
      </c>
      <c r="F2052" s="44">
        <v>0</v>
      </c>
    </row>
    <row r="2053" spans="1:6" x14ac:dyDescent="0.35">
      <c r="A2053" s="88">
        <v>46009</v>
      </c>
      <c r="B2053" s="2" t="s">
        <v>2002</v>
      </c>
      <c r="C2053" s="36" t="s">
        <v>84</v>
      </c>
      <c r="D2053" s="17" t="s">
        <v>2138</v>
      </c>
      <c r="E2053" s="45">
        <v>0</v>
      </c>
      <c r="F2053" s="44">
        <v>0</v>
      </c>
    </row>
    <row r="2054" spans="1:6" x14ac:dyDescent="0.35">
      <c r="A2054" s="88">
        <v>46013</v>
      </c>
      <c r="B2054" s="2" t="s">
        <v>2003</v>
      </c>
      <c r="C2054" s="36" t="s">
        <v>84</v>
      </c>
      <c r="D2054" s="17" t="s">
        <v>600</v>
      </c>
      <c r="E2054" s="45">
        <v>0</v>
      </c>
      <c r="F2054" s="44">
        <v>0</v>
      </c>
    </row>
    <row r="2055" spans="1:6" x14ac:dyDescent="0.35">
      <c r="A2055" s="88">
        <v>44589</v>
      </c>
      <c r="B2055" s="2" t="s">
        <v>678</v>
      </c>
      <c r="C2055" s="36" t="s">
        <v>84</v>
      </c>
      <c r="D2055" s="17" t="s">
        <v>597</v>
      </c>
      <c r="E2055" s="45"/>
      <c r="F2055" s="44"/>
    </row>
  </sheetData>
  <autoFilter ref="A15:F1565" xr:uid="{12096605-9A45-4FF7-91FC-CBD4511ED2C7}">
    <sortState xmlns:xlrd2="http://schemas.microsoft.com/office/spreadsheetml/2017/richdata2" ref="A16:F2055">
      <sortCondition ref="A15:A1565"/>
    </sortState>
  </autoFilter>
  <conditionalFormatting sqref="C390:C391 C393:C394 C455:C458 C398 C407:C410 C423 C425:C427 C429 C439:C447 C450 C453 C460 C463:C465 C477 C479 C471:C475 C469 C435:C436 C431:C433 C418:C421 C404 C400:C401 C412:C416">
    <cfRule type="containsText" dxfId="17" priority="61" operator="containsText" text="Option">
      <formula>NOT(ISERROR(SEARCH("Option",C390)))</formula>
    </cfRule>
    <cfRule type="containsText" dxfId="16" priority="62" operator="containsText" text="Confirmé">
      <formula>NOT(ISERROR(SEARCH("Confirmé",C390)))</formula>
    </cfRule>
    <cfRule type="containsText" dxfId="15" priority="63" operator="containsText" text="Option">
      <formula>NOT(ISERROR(SEARCH("Option",C390)))</formula>
    </cfRule>
    <cfRule type="containsText" dxfId="14" priority="64" operator="containsText" text="Annulé">
      <formula>NOT(ISERROR(SEARCH("Annulé",C390)))</formula>
    </cfRule>
    <cfRule type="containsText" dxfId="13" priority="65" operator="containsText" text="Option">
      <formula>NOT(ISERROR(SEARCH("Option",C390)))</formula>
    </cfRule>
    <cfRule type="containsText" dxfId="12" priority="66" operator="containsText" text="Annulé">
      <formula>NOT(ISERROR(SEARCH("Annulé",C390)))</formula>
    </cfRule>
    <cfRule type="containsText" dxfId="11" priority="67" operator="containsText" text="Annulé">
      <formula>NOT(ISERROR(SEARCH("Annulé",C390)))</formula>
    </cfRule>
  </conditionalFormatting>
  <conditionalFormatting sqref="C394">
    <cfRule type="containsText" dxfId="10" priority="60" operator="containsText" text="Option">
      <formula>NOT(ISERROR(SEARCH("Option",C394)))</formula>
    </cfRule>
  </conditionalFormatting>
  <conditionalFormatting sqref="C394">
    <cfRule type="containsText" dxfId="9" priority="59" operator="containsText" text="Annulé">
      <formula>NOT(ISERROR(SEARCH("Annulé",C394)))</formula>
    </cfRule>
  </conditionalFormatting>
  <conditionalFormatting sqref="C555 C542 C544:C545 C497 C480:C482">
    <cfRule type="containsText" dxfId="8" priority="50" operator="containsText" text="Option">
      <formula>NOT(ISERROR(SEARCH("Option",C480)))</formula>
    </cfRule>
    <cfRule type="containsText" dxfId="7" priority="51" operator="containsText" text="Confirmé">
      <formula>NOT(ISERROR(SEARCH("Confirmé",C480)))</formula>
    </cfRule>
    <cfRule type="containsText" dxfId="6" priority="52" operator="containsText" text="Option">
      <formula>NOT(ISERROR(SEARCH("Option",C480)))</formula>
    </cfRule>
    <cfRule type="containsText" dxfId="5" priority="53" operator="containsText" text="Annulé">
      <formula>NOT(ISERROR(SEARCH("Annulé",C480)))</formula>
    </cfRule>
    <cfRule type="containsText" dxfId="4" priority="54" operator="containsText" text="Option">
      <formula>NOT(ISERROR(SEARCH("Option",C480)))</formula>
    </cfRule>
    <cfRule type="containsText" dxfId="3" priority="55" operator="containsText" text="Annulé">
      <formula>NOT(ISERROR(SEARCH("Annulé",C480)))</formula>
    </cfRule>
    <cfRule type="containsText" dxfId="2" priority="56" operator="containsText" text="Annulé">
      <formula>NOT(ISERROR(SEARCH("Annulé",C480)))</formula>
    </cfRule>
  </conditionalFormatting>
  <conditionalFormatting sqref="C482">
    <cfRule type="containsText" dxfId="1" priority="49" operator="containsText" text="Option">
      <formula>NOT(ISERROR(SEARCH("Option",C482)))</formula>
    </cfRule>
  </conditionalFormatting>
  <conditionalFormatting sqref="C482">
    <cfRule type="containsText" dxfId="0" priority="48" operator="containsText" text="Annulé">
      <formula>NOT(ISERROR(SEARCH("Annulé",C482)))</formula>
    </cfRule>
  </conditionalFormatting>
  <hyperlinks>
    <hyperlink ref="D572" r:id="rId1" xr:uid="{112D5F1A-ACD6-4E8A-A3E8-D52AA9C9954A}"/>
    <hyperlink ref="D484" r:id="rId2" xr:uid="{01A642B1-6B39-446C-AFFF-A954E3E64A8B}"/>
    <hyperlink ref="D489" r:id="rId3" xr:uid="{46245214-CE58-4AA8-9992-070167068430}"/>
    <hyperlink ref="D490" r:id="rId4" xr:uid="{A08F5FCE-1DA0-4A08-A93B-FD1BAB47C152}"/>
    <hyperlink ref="D492" r:id="rId5" xr:uid="{626EFFC6-2A1A-48BA-BEF0-F268BD7F40E3}"/>
    <hyperlink ref="D499" r:id="rId6" xr:uid="{6D0C33AE-E0C3-4EFB-A058-D31A36C21197}"/>
    <hyperlink ref="D502" r:id="rId7" xr:uid="{324FFA2C-49FF-48D5-B955-746E295D0548}"/>
    <hyperlink ref="D507" r:id="rId8" xr:uid="{07BF258C-268D-4D69-AD7E-ADC5817EDE5E}"/>
    <hyperlink ref="D515" r:id="rId9" xr:uid="{F03EE3A0-959E-4C21-8A04-929B950AD93A}"/>
    <hyperlink ref="D514" r:id="rId10" xr:uid="{F3E71CCA-90AD-4C73-B606-2EE93CD05B47}"/>
    <hyperlink ref="D517" r:id="rId11" xr:uid="{D1459D1D-2D22-47AB-BF33-9DE5A629780D}"/>
    <hyperlink ref="D534" r:id="rId12" xr:uid="{3C199145-D868-44AC-8B5E-60460C047C1C}"/>
    <hyperlink ref="D503" r:id="rId13" xr:uid="{85E22590-585D-4A40-91BA-1C215207D2ED}"/>
    <hyperlink ref="D543" r:id="rId14" xr:uid="{6E1DF34C-057D-4050-8D71-32B336881546}"/>
    <hyperlink ref="D545" r:id="rId15" xr:uid="{CBFAAB49-A754-4DA6-80A2-530533B6567C}"/>
    <hyperlink ref="D547" r:id="rId16" xr:uid="{97B7A75A-3DED-49D4-8CB4-1245F227760C}"/>
    <hyperlink ref="D548" r:id="rId17" xr:uid="{C0B9765B-B3C7-4C15-835D-FEF83F11EF75}"/>
    <hyperlink ref="D550" r:id="rId18" xr:uid="{622A5D05-B1DA-46D5-8875-4684B4624739}"/>
    <hyperlink ref="D629" r:id="rId19" xr:uid="{A024095B-4353-47A7-8900-93711D862F90}"/>
    <hyperlink ref="D574" r:id="rId20" xr:uid="{670C5C15-853C-4106-884F-F4987537372A}"/>
    <hyperlink ref="D633" r:id="rId21" xr:uid="{F23FB440-8FC1-49B4-BCFE-1408CDB00A6B}"/>
    <hyperlink ref="D2055" r:id="rId22" xr:uid="{E5F1F340-AF4D-4764-86AE-443E0EE6259C}"/>
    <hyperlink ref="D635" r:id="rId23" xr:uid="{990CAF08-A60A-4EDC-A211-F6B9880F7A83}"/>
    <hyperlink ref="D641" r:id="rId24" xr:uid="{6AE30DF7-136D-4419-AE85-200404A25414}"/>
    <hyperlink ref="D643" r:id="rId25" xr:uid="{B0E63825-C90B-4CA7-8FE8-708E3EEAFB3D}"/>
    <hyperlink ref="D646" r:id="rId26" xr:uid="{9CFDD1BE-9D5C-4767-ABF0-B59268E5DD9E}"/>
    <hyperlink ref="D649" r:id="rId27" xr:uid="{19359AF3-6EC1-46F1-8724-626C8A27D06D}"/>
    <hyperlink ref="D647" r:id="rId28" xr:uid="{99776341-A02D-49A8-A8D8-BCAFA0E6E050}"/>
    <hyperlink ref="D650" r:id="rId29" xr:uid="{E9DCD814-7C6C-47E2-AC13-E203F82ED4EE}"/>
    <hyperlink ref="D652" r:id="rId30" xr:uid="{279E256C-1ED2-490C-9CAC-63270B3FC45D}"/>
    <hyperlink ref="D651" r:id="rId31" xr:uid="{06B23FC2-FD31-4666-924B-FED8CCEDC0C0}"/>
    <hyperlink ref="D655" r:id="rId32" xr:uid="{E1DABD07-DF11-43AE-9B23-3A3363D6086D}"/>
    <hyperlink ref="D656" r:id="rId33" xr:uid="{490F644E-3BF4-4B55-AD87-FF8FCD44A0CA}"/>
    <hyperlink ref="D658" r:id="rId34" xr:uid="{15FF39BF-9CE1-4B06-8C86-8E9192C8A093}"/>
    <hyperlink ref="D659" r:id="rId35" display="mailto:michaela.corrias@aphp.fr" xr:uid="{948D7835-F932-4659-AF6D-7DEC7CC59783}"/>
    <hyperlink ref="D661" r:id="rId36" xr:uid="{E17181F3-7F49-4D16-9E04-A0F8A3C69349}"/>
    <hyperlink ref="D662" r:id="rId37" xr:uid="{253DCA5B-3521-4053-AE0E-2DDB6F6880E5}"/>
    <hyperlink ref="D664" r:id="rId38" xr:uid="{CE7B1FB3-DF9E-4633-BCDF-D2A4F7F09D31}"/>
    <hyperlink ref="D667" r:id="rId39" xr:uid="{59EAB8CA-4D7F-4745-86B5-3B10978F3917}"/>
    <hyperlink ref="D668" r:id="rId40" xr:uid="{7A8E518D-CD6F-463F-80E6-6E82455FDC99}"/>
    <hyperlink ref="D670" r:id="rId41" xr:uid="{8326B42A-6033-44C8-A9FA-5B8BC0E14D52}"/>
    <hyperlink ref="D672" r:id="rId42" xr:uid="{0E18B0E6-D6D5-4660-B13D-66022AF78E06}"/>
    <hyperlink ref="D673" r:id="rId43" xr:uid="{7FEB717E-ACCA-41B9-B1C3-0AE69BBE1753}"/>
    <hyperlink ref="D674" r:id="rId44" xr:uid="{33A5B8F1-F7E8-4FDC-BBE6-CCAB642C10A3}"/>
    <hyperlink ref="D677" r:id="rId45" xr:uid="{6B59D9AA-D888-43E0-9997-8CB552A4A4A3}"/>
    <hyperlink ref="D679" r:id="rId46" xr:uid="{4AC6128B-4506-4684-9167-5989BCA27464}"/>
    <hyperlink ref="D681" r:id="rId47" display="smail.hadj@inserm.fr, " xr:uid="{EE41CA4A-1E5A-43B0-BEFC-DFA016EA17F1}"/>
    <hyperlink ref="D685" r:id="rId48" xr:uid="{6470619C-86E1-4E4B-8735-1ACA5C75C7FB}"/>
    <hyperlink ref="D686" r:id="rId49" xr:uid="{08D6C458-78A4-4D61-9BCF-E762AEE400AD}"/>
    <hyperlink ref="D684" r:id="rId50" xr:uid="{AD09229A-0A31-4FFE-8FBD-59DF78BFF256}"/>
    <hyperlink ref="D689" r:id="rId51" xr:uid="{F6A73671-574F-4D6C-8C51-AF29763580B3}"/>
    <hyperlink ref="D692" r:id="rId52" xr:uid="{4BC7FD47-8441-4CAE-B2D6-7B87B1416FE6}"/>
    <hyperlink ref="D696" r:id="rId53" xr:uid="{0F5C4520-5C87-48EC-B791-914ED51FADED}"/>
    <hyperlink ref="D697" r:id="rId54" xr:uid="{8D4F650E-5013-4794-8BDA-7AE1A2DFDB93}"/>
    <hyperlink ref="D699" r:id="rId55" xr:uid="{BCDADA20-AF50-407B-8FC0-5F8EE396082B}"/>
    <hyperlink ref="D701" r:id="rId56" display="veronique.abadie@aphp.fr" xr:uid="{F697B3F8-797C-41D0-94A6-2B455A0EE8F2}"/>
    <hyperlink ref="D703" r:id="rId57" xr:uid="{80E5A2A0-7F2D-46BB-BEFA-306C6C0DD55F}"/>
    <hyperlink ref="D704" r:id="rId58" xr:uid="{9490A0FF-0239-425A-9E95-2220BF2463E1}"/>
    <hyperlink ref="D706" r:id="rId59" xr:uid="{55D2FE5F-B37F-4A8F-B6CD-E394421E6A8A}"/>
    <hyperlink ref="D709" r:id="rId60" xr:uid="{CD85A78D-149E-4C78-9E33-11ABC6549200}"/>
    <hyperlink ref="D711" r:id="rId61" xr:uid="{9C252FDB-2FFF-44AA-8010-22CEC233EDC6}"/>
    <hyperlink ref="D724" r:id="rId62" display="mailto:rebecca.gene@aphp.fr" xr:uid="{A7DCFC0C-3201-48D8-8E2E-8B6A3B4746B7}"/>
    <hyperlink ref="D726" r:id="rId63" xr:uid="{09CEA204-AD14-40BB-92CE-D2D44BBB0A95}"/>
    <hyperlink ref="D730" r:id="rId64" xr:uid="{63656ED9-F083-41CC-8D42-91542203E7B8}"/>
    <hyperlink ref="D738" r:id="rId65" xr:uid="{F152D6A6-EEF0-49B5-AE83-8713D26B05FE}"/>
    <hyperlink ref="D747" r:id="rId66" xr:uid="{37B8E2D4-05AF-46BE-82F5-3A4DE54DD6FB}"/>
    <hyperlink ref="D746" r:id="rId67" xr:uid="{B2C73B49-7319-4486-8444-99650F494F2F}"/>
    <hyperlink ref="D743" r:id="rId68" xr:uid="{F1DA39EB-BE4D-4F42-A0DF-2EE23B6AA81F}"/>
    <hyperlink ref="D742" r:id="rId69" xr:uid="{58EED9EB-7FF8-49B3-BB11-178E93925849}"/>
    <hyperlink ref="D745" r:id="rId70" display="mailto:aude.chaboissier@aphp.fr" xr:uid="{73B9AB05-416D-4A36-8DFD-15201C186DC4}"/>
    <hyperlink ref="D748" r:id="rId71" display="mailto:olivier.brissaud@chu-bordeaux.fr" xr:uid="{632FFD1E-8C4D-4C33-9CF5-7F4333842A79}"/>
    <hyperlink ref="D880" r:id="rId72" xr:uid="{F02CCB96-987B-4923-B107-C5BC9DC27AB1}"/>
    <hyperlink ref="D876" r:id="rId73" xr:uid="{72ED6152-AD6E-45EB-B543-C36EB0398FAA}"/>
    <hyperlink ref="D875" r:id="rId74" xr:uid="{5212A4C8-A53A-4CDC-9858-84724E6D631C}"/>
    <hyperlink ref="D891" r:id="rId75" xr:uid="{ED854A72-42C5-4613-A36F-391DF39CC93E}"/>
    <hyperlink ref="D889:D890" r:id="rId76" display="julien.husson@institutimagine.org " xr:uid="{31173F8A-F30F-4943-9F94-C8C6E513997F}"/>
    <hyperlink ref="D868" r:id="rId77" xr:uid="{B99C952D-721D-41F7-BBD5-2DE1FBDCD637}"/>
    <hyperlink ref="D864" r:id="rId78" xr:uid="{CBF784E1-82E6-4073-BD7C-EBF6C6CBBF94}"/>
    <hyperlink ref="D886" r:id="rId79" xr:uid="{70C4C6E3-4E1D-4B8B-BA4A-5099890AB70D}"/>
    <hyperlink ref="D885" r:id="rId80" xr:uid="{21820BDB-C568-42EB-9A4F-05B9492CC53D}"/>
    <hyperlink ref="D883" r:id="rId81" xr:uid="{5B753F16-3690-4D7B-BC79-6A9E5EA365AE}"/>
    <hyperlink ref="D888" r:id="rId82" xr:uid="{67F7BD36-7250-49AD-846C-1DAB936BA172}"/>
    <hyperlink ref="D887" r:id="rId83" xr:uid="{13D42529-3341-493D-92EC-AE27194FF272}"/>
    <hyperlink ref="D882" r:id="rId84" xr:uid="{CF5D759E-1C0C-4B50-AD4A-F3A1E107AFEF}"/>
    <hyperlink ref="D861" r:id="rId85" xr:uid="{6CAB250F-FFD7-4069-94DE-21D0AF3DEDA8}"/>
    <hyperlink ref="D890" r:id="rId86" xr:uid="{F0B65B1B-92B5-4E70-87A4-BF8332AB4284}"/>
    <hyperlink ref="D874" r:id="rId87" xr:uid="{C632B62B-099B-4144-AF53-2A52A3A31D65}"/>
    <hyperlink ref="D871" r:id="rId88" xr:uid="{FC8B2CE9-C076-4EBE-821B-DD569E51AA20}"/>
    <hyperlink ref="D817" r:id="rId89" xr:uid="{53457FAD-59B5-4DCF-8A6D-87863A5F9BFF}"/>
    <hyperlink ref="D808" r:id="rId90" xr:uid="{62A4A9B1-54E1-44A5-B0C5-C215C83488A7}"/>
    <hyperlink ref="D792" r:id="rId91" xr:uid="{D66FD624-3185-4963-8795-6C5EADFF2861}"/>
    <hyperlink ref="D790" r:id="rId92" xr:uid="{C6E46C9A-EB33-4309-9096-DC2B7D2CFC41}"/>
    <hyperlink ref="D788" r:id="rId93" xr:uid="{28023994-7D75-4254-9443-C353A89A9F2C}"/>
    <hyperlink ref="D786" r:id="rId94" xr:uid="{3CFF632D-5A5B-4593-A041-D251F63D0511}"/>
    <hyperlink ref="D807" r:id="rId95" xr:uid="{65092395-6B78-479B-9438-5EC1C4B02C6E}"/>
    <hyperlink ref="D804" r:id="rId96" xr:uid="{D14BAD5F-0F46-412D-B95E-D191E31CF9A2}"/>
    <hyperlink ref="D802" r:id="rId97" xr:uid="{20345414-EDF2-4133-B526-23583E72CF4E}"/>
    <hyperlink ref="D798" r:id="rId98" xr:uid="{C141D592-5F48-40D3-8D39-A3A67A0D89C4}"/>
    <hyperlink ref="D799" r:id="rId99" xr:uid="{6FDF9AF9-6B97-42DE-9034-DFC3066E12AF}"/>
    <hyperlink ref="D797" r:id="rId100" xr:uid="{3B93A772-81EC-4F3E-B31A-ABD677D09B71}"/>
    <hyperlink ref="D858" r:id="rId101" xr:uid="{1002829E-8C7B-42FA-888C-E8F2B22F1D80}"/>
    <hyperlink ref="D857" r:id="rId102" display="mailto:renan.oliveira-correa@institutimagine.org" xr:uid="{00BB2C06-4CF4-4553-AC68-AA2F6E6DEAC0}"/>
    <hyperlink ref="D856" r:id="rId103" xr:uid="{F146D7CC-83BB-4E31-A5B6-C63C9653F490}"/>
    <hyperlink ref="D860" r:id="rId104" xr:uid="{56E2FAF8-A24C-43FA-BD72-A26A56684394}"/>
    <hyperlink ref="D863" r:id="rId105" xr:uid="{88B57A92-43EB-4713-BF42-88D34E4F4F1F}"/>
    <hyperlink ref="D877" r:id="rId106" xr:uid="{B34191D0-D50D-4ECF-91BB-412D0EEC7B47}"/>
    <hyperlink ref="D853" r:id="rId107" xr:uid="{D5A1E06E-1EDC-460D-A58B-65CDAE431419}"/>
    <hyperlink ref="D866" r:id="rId108" xr:uid="{83B2D4D9-EC88-4911-AFE9-5ECAA47F1828}"/>
    <hyperlink ref="D818" r:id="rId109" display="mailto:isabelle.descamps@aphp.fr" xr:uid="{ED8AE74B-9D93-4D98-BE60-193CBBA0439D}"/>
    <hyperlink ref="D815" r:id="rId110" xr:uid="{A2C695B5-5C91-4C4D-8335-CFC59A28F4F1}"/>
    <hyperlink ref="D814" r:id="rId111" xr:uid="{8D04AF0F-4DF7-435C-84C1-365F75606A47}"/>
    <hyperlink ref="D812" r:id="rId112" xr:uid="{03A84605-4224-4C8D-A67E-D2B6FCD0579B}"/>
    <hyperlink ref="D832" r:id="rId113" xr:uid="{E23089CB-F43F-49F9-B740-67DB72A50BF7}"/>
    <hyperlink ref="D820" r:id="rId114" xr:uid="{51DA386A-6AA0-4B32-AFD6-6011160ED3BA}"/>
    <hyperlink ref="D884" r:id="rId115" display="mailto:halima.hadi@perkinelmer.com" xr:uid="{06BF6C02-2662-4A4A-BA2B-B408E6731070}"/>
    <hyperlink ref="D862" r:id="rId116" xr:uid="{CF0BC1C4-AD7E-4346-A14C-02A47C9F6A6D}"/>
    <hyperlink ref="D805" r:id="rId117" xr:uid="{A3F4979C-942E-45FB-AACF-882DE23BEBDE}"/>
    <hyperlink ref="D806" r:id="rId118" xr:uid="{97208A42-51D7-41F6-B327-B78B2CCAB4EE}"/>
    <hyperlink ref="D795" r:id="rId119" xr:uid="{101BC5A6-49FF-467A-A7B6-EC84DB3EAFEA}"/>
    <hyperlink ref="D796" r:id="rId120" xr:uid="{37F25753-B5AE-46F9-B175-62A0A09B3A6D}"/>
    <hyperlink ref="D758" r:id="rId121" xr:uid="{307B9B44-8714-46FB-BF5E-249EEF75DE43}"/>
    <hyperlink ref="D782" r:id="rId122" xr:uid="{7DD750CA-E0FA-40CF-9F63-2DCB503C0CF8}"/>
    <hyperlink ref="D869" r:id="rId123" xr:uid="{F9E1B843-C9EB-4E71-B9D9-91FBB50FC911}"/>
    <hyperlink ref="D775" r:id="rId124" display="mailto:marie-anne.rey-cuille@inserm.fr" xr:uid="{27829F28-0C6E-4D69-859C-D384AEDA7CD5}"/>
    <hyperlink ref="D772" r:id="rId125" xr:uid="{ADE7612A-0091-4972-9D43-6784B4B96811}"/>
    <hyperlink ref="D774" r:id="rId126" xr:uid="{736D1569-7463-4793-8778-1AC2890D0FB1}"/>
    <hyperlink ref="D771" r:id="rId127" xr:uid="{B7A4BAD0-BEAC-421F-9BD6-C587F29B4A7A}"/>
    <hyperlink ref="D770" r:id="rId128" xr:uid="{BA044952-84BD-4902-872D-A071D7259B16}"/>
    <hyperlink ref="D769" r:id="rId129" xr:uid="{D13E6C4B-9BFD-404E-8B4B-24B61421521B}"/>
    <hyperlink ref="D767" r:id="rId130" xr:uid="{BF8559D5-65C0-4202-B1D5-2F94F9EF420A}"/>
    <hyperlink ref="D766" r:id="rId131" xr:uid="{25CF9E68-718E-4ADC-8460-D8FEA74B7CC0}"/>
    <hyperlink ref="D765" r:id="rId132" display="mailto:mahlaouinizar@gmail.com" xr:uid="{975EFDDC-C747-4792-A2A3-CEEBFDCC4F3C}"/>
    <hyperlink ref="D762" r:id="rId133" xr:uid="{9FE3BA6F-707D-454E-B326-8FD285C74F0A}"/>
    <hyperlink ref="D761" r:id="rId134" xr:uid="{608D4BF6-04DB-49CF-8CC1-ED9B1CF9D49F}"/>
    <hyperlink ref="D759" r:id="rId135" xr:uid="{A02FA658-C314-4A93-B4CE-B8E9CA698A1F}"/>
    <hyperlink ref="D760" r:id="rId136" xr:uid="{4B8ACFD5-0E3F-4C32-9730-64B6F38106A1}"/>
    <hyperlink ref="D756" r:id="rId137" display="mailto:afcollange@gmail.com" xr:uid="{ACF1D6BC-B124-46BE-A5BD-830754B5A986}"/>
    <hyperlink ref="D754" r:id="rId138" xr:uid="{F8865E1D-5FF6-48D2-AACA-E9B5723D1458}"/>
    <hyperlink ref="D752" r:id="rId139" display="mailto:serge.romana@aphp.fr" xr:uid="{4436F155-33AF-4BB8-833A-16E0D7A39DA2}"/>
    <hyperlink ref="D750" r:id="rId140" display="mailto:David.Lavergne@chu-limoges.fr" xr:uid="{CE51E65D-59F6-46E0-9A94-2E8D234B53DA}"/>
    <hyperlink ref="D749" r:id="rId141" display="mailto:meriem.garfa@inserm.fr" xr:uid="{2E6B1C7F-4D4F-4FCB-AF40-9B97DB1CE5F4}"/>
    <hyperlink ref="D881" r:id="rId142" xr:uid="{CB924733-C74E-4C59-AB90-AEC040363208}"/>
    <hyperlink ref="D893" r:id="rId143" xr:uid="{BAA0973C-DB24-4BB7-9560-7C0F6947C5B2}"/>
    <hyperlink ref="D894" r:id="rId144" xr:uid="{97783353-E3F1-4189-AE57-3C0FCBEFEB45}"/>
    <hyperlink ref="D896" r:id="rId145" xr:uid="{AC80A6F4-FAC8-409F-9C90-8741BB5DFB50}"/>
    <hyperlink ref="D898" r:id="rId146" xr:uid="{8F9D2391-3BA2-4630-A69F-349FB9561865}"/>
    <hyperlink ref="D916" r:id="rId147" display="mailto:president@amps-asso.org" xr:uid="{6B95F87F-D6D3-4D1B-8308-F2893A54A9A4}"/>
    <hyperlink ref="D992" r:id="rId148" xr:uid="{0B10778A-9A1C-4DBA-8E6A-9126BA0FFBFF}"/>
    <hyperlink ref="D997" r:id="rId149" xr:uid="{BF083767-DBCD-4612-A209-1197824E14C2}"/>
    <hyperlink ref="D998" r:id="rId150" xr:uid="{0653C97F-059D-4F6A-84A4-40EAE4FB97AF}"/>
    <hyperlink ref="D1006" r:id="rId151" xr:uid="{16BF1FF6-662B-4BCD-86E4-A21392EB2A9A}"/>
    <hyperlink ref="D1007" r:id="rId152" xr:uid="{A69B1D22-10E7-4D00-A765-70F021A47607}"/>
    <hyperlink ref="D1018" r:id="rId153" xr:uid="{51BE821B-5677-44FE-8F14-401EF21840B8}"/>
    <hyperlink ref="D1022" r:id="rId154" xr:uid="{1A5DA96E-C625-4DA8-96C3-00E384A364C3}"/>
    <hyperlink ref="D1027" r:id="rId155" display="mailto:stephanie.massare@inserm.fr" xr:uid="{42AB6CDF-1A0E-4130-A23E-8D6917003590}"/>
    <hyperlink ref="D1029" r:id="rId156" xr:uid="{49226CDE-C416-41C8-A715-09EEA9992542}"/>
    <hyperlink ref="D1030" r:id="rId157" xr:uid="{9C1057F1-D8BC-4C71-ABCA-B0219B21B1C9}"/>
    <hyperlink ref="D1040" r:id="rId158" xr:uid="{BEA367B6-D0FF-476C-9B03-80F79C8A6BAC}"/>
    <hyperlink ref="D977" r:id="rId159" xr:uid="{BA982442-9E3B-432A-A372-94270418FFE3}"/>
    <hyperlink ref="D1042" r:id="rId160" display="mailto:patrickguirchoun@gmail.com" xr:uid="{B7CA60A1-22D8-4688-B390-5A5835D8B561}"/>
    <hyperlink ref="D945" r:id="rId161" xr:uid="{B06B4023-54B6-4184-8CAB-C34028B76BF7}"/>
    <hyperlink ref="D920" r:id="rId162" xr:uid="{706FC2F4-8BDC-4B14-8EF2-3F67794392D6}"/>
    <hyperlink ref="D937" r:id="rId163" xr:uid="{F84AA72C-8D9A-4D16-A23A-5BE281B94091}"/>
    <hyperlink ref="D921" r:id="rId164" xr:uid="{1DFA5B26-C848-410D-8FF2-142768AE4A9E}"/>
    <hyperlink ref="D904" r:id="rId165" xr:uid="{BB300C4E-700F-4D4E-8B4E-8D7AD43F6B18}"/>
    <hyperlink ref="D910" r:id="rId166" xr:uid="{FA335334-6F5E-4F05-B8C3-19ABB171815E}"/>
    <hyperlink ref="D913" r:id="rId167" xr:uid="{431B61C8-9049-43EB-91EC-8561D5E11EFB}"/>
    <hyperlink ref="D922" r:id="rId168" xr:uid="{6009ECD5-FFCF-4D6B-85C1-2171994F90BD}"/>
    <hyperlink ref="D928" r:id="rId169" xr:uid="{96DCA33C-C4C3-4C5B-9471-5E356AA664AD}"/>
    <hyperlink ref="D929" r:id="rId170" xr:uid="{CACC173E-9C91-4052-B462-41CEE69A1927}"/>
    <hyperlink ref="D932" r:id="rId171" xr:uid="{D63088A9-197C-40D8-BCA4-E2B9E4316155}"/>
    <hyperlink ref="D934" r:id="rId172" xr:uid="{FEDE31EC-784A-4AA0-AD47-5C776777E03E}"/>
    <hyperlink ref="D905" r:id="rId173" xr:uid="{8B76C389-0410-4D40-A5D2-8240C1988DD2}"/>
    <hyperlink ref="D903" r:id="rId174" xr:uid="{75F72955-F1D8-49EE-AC99-3C7B4E0AC25B}"/>
    <hyperlink ref="D914" r:id="rId175" xr:uid="{980E6E74-1CAE-4401-B158-854396CB0DF4}"/>
    <hyperlink ref="D915" r:id="rId176" xr:uid="{ACD7B839-2A8F-47DF-BBCB-601ADE5BB9C4}"/>
    <hyperlink ref="D911" r:id="rId177" display="mailto:beatrice.langellier-bellevue@aphp.fr" xr:uid="{47F5036E-A473-46D8-A12E-59FC67CFB068}"/>
    <hyperlink ref="D912" r:id="rId178" xr:uid="{877C3FB0-8761-4436-961C-7AE1D1CAD6B8}"/>
    <hyperlink ref="D907" r:id="rId179" xr:uid="{C94E1DBE-EA5A-4CFA-9FE0-12C321AEDD32}"/>
    <hyperlink ref="D949" r:id="rId180" xr:uid="{5DE9A1A2-AA8C-444C-B07F-85FFF2400ACE}"/>
    <hyperlink ref="D952" r:id="rId181" xr:uid="{63EF64FA-A8C5-4E5B-80E7-4E01FFC62560}"/>
    <hyperlink ref="D957" r:id="rId182" xr:uid="{5C7EEA19-3391-449F-B8EC-2E649284C4BD}"/>
    <hyperlink ref="D959" r:id="rId183" xr:uid="{08A21707-CA2E-4F4F-88C4-622477F6217F}"/>
    <hyperlink ref="D964" r:id="rId184" xr:uid="{662556EF-09A6-47F2-A759-5DB1BEC6E517}"/>
    <hyperlink ref="D965" r:id="rId185" xr:uid="{2744C8A0-2417-4879-A83B-BE866808CDD5}"/>
    <hyperlink ref="D978" r:id="rId186" xr:uid="{0B017596-A2B3-49DC-A019-761216D49628}"/>
    <hyperlink ref="D979" r:id="rId187" xr:uid="{1529C613-6CD2-4805-AF7E-4BCD2E582E17}"/>
    <hyperlink ref="D980" r:id="rId188" xr:uid="{B9431A2B-4EE6-40BC-8A03-724E628B34C1}"/>
    <hyperlink ref="D981" r:id="rId189" xr:uid="{8BEF6582-9194-4D30-B324-F793207151BE}"/>
    <hyperlink ref="D983" r:id="rId190" xr:uid="{E8FB00EA-F96C-4991-AC7C-B62ED0A6D62E}"/>
    <hyperlink ref="D927" r:id="rId191" xr:uid="{E6FDEFD5-F9E8-4339-8ABB-F8ED4C73E5EA}"/>
    <hyperlink ref="D990" r:id="rId192" xr:uid="{CD516BEC-C6C0-4AD0-82FC-1C61CF526611}"/>
    <hyperlink ref="D993" r:id="rId193" xr:uid="{370DF2C2-A492-46ED-8BDA-EE701C13AA34}"/>
    <hyperlink ref="D995" r:id="rId194" xr:uid="{2D063EE4-6118-4728-93B7-2028DD5034C2}"/>
    <hyperlink ref="D999" r:id="rId195" xr:uid="{B26C6AAD-E253-4C44-AB0D-E6BE5506840E}"/>
    <hyperlink ref="D1001" r:id="rId196" xr:uid="{C41CE407-CB8D-4E80-86F2-7C811DF9B190}"/>
    <hyperlink ref="D1002" r:id="rId197" xr:uid="{FC7004E9-7B62-4198-8EF2-9C7291B72F62}"/>
    <hyperlink ref="D1009" r:id="rId198" xr:uid="{7CA1B987-E510-4055-A21F-FF249590CF3B}"/>
    <hyperlink ref="D1010" r:id="rId199" xr:uid="{CC017962-E116-4353-BAE0-D901B37E6E86}"/>
    <hyperlink ref="D1011" r:id="rId200" xr:uid="{1BF580DD-0739-4CEA-A850-284CAB6FF915}"/>
    <hyperlink ref="D1012" r:id="rId201" xr:uid="{35CEABA8-AA3C-4737-9C93-933462535351}"/>
    <hyperlink ref="D1013" r:id="rId202" xr:uid="{6A77CA60-0EE2-42D7-B60F-11A973E1197F}"/>
    <hyperlink ref="D1021" r:id="rId203" xr:uid="{151D2325-1166-40D6-8528-2F42D1B3CCFB}"/>
    <hyperlink ref="D1024" r:id="rId204" xr:uid="{8922B577-94D9-403C-85DF-154E15C1B1CF}"/>
    <hyperlink ref="D1025" r:id="rId205" xr:uid="{BF1B20D4-085A-4592-A3C8-790D0E413312}"/>
    <hyperlink ref="D1026" r:id="rId206" xr:uid="{D6D2E718-D900-458A-B37A-7A3DF275AD24}"/>
    <hyperlink ref="D1033" r:id="rId207" xr:uid="{61CC838F-AE13-41C1-8082-F1B9A58B6864}"/>
    <hyperlink ref="D1034" r:id="rId208" xr:uid="{6056850F-07DF-442E-B02E-760A42942F7B}"/>
    <hyperlink ref="D1036" r:id="rId209" xr:uid="{4C8F78CE-81AB-49F6-A303-C24CAA5E5948}"/>
    <hyperlink ref="D1043" r:id="rId210" xr:uid="{59BCBC9C-1FE6-46AA-9C52-2D7254B35293}"/>
    <hyperlink ref="D1044" r:id="rId211" xr:uid="{602631BD-B3F5-4A99-A964-DA7C74278177}"/>
    <hyperlink ref="D1045" r:id="rId212" xr:uid="{D5132DAD-F637-48E5-A5BF-FD7CB38BF99D}"/>
    <hyperlink ref="D1031" r:id="rId213" xr:uid="{ACE09F84-5631-423D-980D-5EF56313AEA9}"/>
    <hyperlink ref="D923" r:id="rId214" xr:uid="{5A261555-4814-447E-89AA-040818DDE66B}"/>
    <hyperlink ref="D1046" r:id="rId215" xr:uid="{C01684AE-7823-4E37-8D4A-1FB9F151B0BD}"/>
    <hyperlink ref="D986" r:id="rId216" xr:uid="{8C17CB6D-53FA-4AAE-BA91-F7347FD9B914}"/>
    <hyperlink ref="D985" r:id="rId217" xr:uid="{5AA96838-3216-4F7A-A51C-44792E6E7515}"/>
    <hyperlink ref="D1028" r:id="rId218" xr:uid="{DEBF1483-1FA2-4371-8BB6-450DE56C0FAE}"/>
    <hyperlink ref="D994" r:id="rId219" xr:uid="{DA4D95D1-4B21-4A01-B586-4EFCC769E697}"/>
    <hyperlink ref="D1078" r:id="rId220" xr:uid="{B53189B7-0E54-4BF8-BE22-C7ECEA57DC61}"/>
    <hyperlink ref="D1017" r:id="rId221" xr:uid="{3FA184DD-969A-46DC-88C2-8F5BF82A80FC}"/>
    <hyperlink ref="D1052" r:id="rId222" xr:uid="{879B3C41-BA8A-4BA7-BBAE-BF7232066BB3}"/>
    <hyperlink ref="D1019" r:id="rId223" xr:uid="{E3B23508-4EBF-40BF-A1CD-800A54A4FFB6}"/>
    <hyperlink ref="D1014" r:id="rId224" xr:uid="{6ECD2C63-71E9-4C9D-995B-B46F813A9B88}"/>
    <hyperlink ref="D1015" r:id="rId225" xr:uid="{9A5F06EF-485E-4E89-A37D-BC700B4F99BB}"/>
    <hyperlink ref="D1059" r:id="rId226" xr:uid="{8E3472E4-2601-44AA-BE6A-DAD9D13369AA}"/>
    <hyperlink ref="D1060" r:id="rId227" xr:uid="{AC979F3B-A92E-410A-A193-C159E00EA41E}"/>
    <hyperlink ref="D1066" r:id="rId228" xr:uid="{F300CF4B-837E-4D42-A387-2D58CF388F51}"/>
    <hyperlink ref="D1023" r:id="rId229" xr:uid="{9F823A69-12B8-4188-948A-C00EBDED3BA7}"/>
    <hyperlink ref="D1058" r:id="rId230" xr:uid="{2BC91415-B418-44D8-B1F5-D5A77DA2E61B}"/>
    <hyperlink ref="D1086" r:id="rId231" xr:uid="{86CE70E6-2752-4F71-AB3B-3472F2613BCD}"/>
    <hyperlink ref="D1039" r:id="rId232" xr:uid="{0ACD7B98-7F6A-4264-9A8D-C63B1A9EF17E}"/>
    <hyperlink ref="D1038" r:id="rId233" xr:uid="{DAAD7D4B-B6F2-411F-AA10-34E60E57C9FB}"/>
    <hyperlink ref="D1055" r:id="rId234" xr:uid="{7BC63DBD-7E2D-4D46-BF44-0670C69D9EA3}"/>
    <hyperlink ref="D1087" r:id="rId235" xr:uid="{8B9657EF-791E-4718-80D8-F428F68A15CF}"/>
    <hyperlink ref="D1082" r:id="rId236" xr:uid="{5D4189A1-DA1F-4111-A25E-98D4B14F69B6}"/>
    <hyperlink ref="D1041" r:id="rId237" xr:uid="{469B2DFE-EA4E-4A72-AC56-7A2439A50AE3}"/>
    <hyperlink ref="D1054" r:id="rId238" xr:uid="{8D1FDACF-C1CA-48B0-B213-737F49995DD5}"/>
    <hyperlink ref="D1079" r:id="rId239" xr:uid="{C7E1CB01-B0A2-488E-B78A-4A0D5DDCBE20}"/>
    <hyperlink ref="D1074" r:id="rId240" xr:uid="{687DD5F3-DB38-40E6-BE9B-DD3275655A5F}"/>
    <hyperlink ref="D1068" r:id="rId241" xr:uid="{6783C5FA-CFAC-405A-94B5-E684752D1CFA}"/>
    <hyperlink ref="D1069" r:id="rId242" xr:uid="{0AD90163-7033-416B-8ECF-584E87B5FFA6}"/>
    <hyperlink ref="D1084" r:id="rId243" xr:uid="{9C65F430-7630-49C2-9DC4-39F5331DC9BD}"/>
    <hyperlink ref="D1085" r:id="rId244" xr:uid="{E98B5D9F-2990-4CEA-885C-95155DA826C8}"/>
    <hyperlink ref="D1076" r:id="rId245" xr:uid="{05E3C669-D61C-4A9F-AA41-1BAE0E07800F}"/>
    <hyperlink ref="D1080" r:id="rId246" xr:uid="{284EFC39-25EE-4A2C-BD9C-FBF7D2B1763D}"/>
    <hyperlink ref="D1083" r:id="rId247" xr:uid="{26A6E8C7-4D9F-42BE-AC26-AD9F57ECD576}"/>
    <hyperlink ref="D1081" r:id="rId248" xr:uid="{015B1E06-3964-4431-BA1E-8F4B73EBA8F6}"/>
    <hyperlink ref="D1077" r:id="rId249" xr:uid="{53F7F287-B9B9-455A-9666-F04A71910F19}"/>
    <hyperlink ref="D1088" r:id="rId250" xr:uid="{C36D86DA-0F14-4AEA-B745-BEE94C95662C}"/>
    <hyperlink ref="D878" r:id="rId251" xr:uid="{B4B61856-A326-4762-992B-3555409C7898}"/>
    <hyperlink ref="D879" r:id="rId252" xr:uid="{1C4136A2-330B-4262-AC02-D0D595AD9402}"/>
    <hyperlink ref="B1261" r:id="rId253" xr:uid="{5837A400-058A-47BB-8B4A-C9E2DBC6E050}"/>
    <hyperlink ref="D1089" r:id="rId254" xr:uid="{268831ED-904F-4182-8310-2F3710CDF22A}"/>
    <hyperlink ref="D1119" r:id="rId255" xr:uid="{63924EF9-F325-4D33-9A19-C70EBDD38C8C}"/>
    <hyperlink ref="D1118" r:id="rId256" xr:uid="{721CA611-BA7B-4BBC-82DE-311C192B6F28}"/>
    <hyperlink ref="D1117" r:id="rId257" xr:uid="{245E2665-A65D-458A-B7D6-D9077B6DAEC5}"/>
    <hyperlink ref="D1109" r:id="rId258" xr:uid="{C23681BE-323A-4062-9FC1-A345FB1D793A}"/>
    <hyperlink ref="D1106" r:id="rId259" xr:uid="{3CB1580F-6568-4D83-94D1-1BECA3641EA5}"/>
    <hyperlink ref="D1100" r:id="rId260" xr:uid="{2CEDA45D-5E37-4F69-9C1D-70A1B64FFC73}"/>
    <hyperlink ref="D1093" r:id="rId261" xr:uid="{A9B6DAD8-0F76-4E88-B7E0-8FCBD0A1BBC4}"/>
    <hyperlink ref="D1095" r:id="rId262" xr:uid="{9B674DB0-7301-4E22-8E7A-C8CDA4A4C736}"/>
    <hyperlink ref="D1108" r:id="rId263" xr:uid="{CDF28C68-514B-465C-BCD9-DB60F45D5CD8}"/>
    <hyperlink ref="D1103" r:id="rId264" xr:uid="{3A51AD9C-A6E0-4BA1-9D38-0AFC1DD0C0E3}"/>
    <hyperlink ref="D1104" r:id="rId265" xr:uid="{2BC70E4C-D7C6-4F7D-81D2-AC1189B4C37A}"/>
    <hyperlink ref="D1101" r:id="rId266" xr:uid="{471D2BA4-A7AA-4D04-A180-1620CB4D966D}"/>
    <hyperlink ref="D1099" r:id="rId267" xr:uid="{3673B4AD-370C-45C9-8285-091197959FC9}"/>
    <hyperlink ref="D1097" r:id="rId268" xr:uid="{36DBA1E8-88BA-4442-8BDA-A9FD309441F4}"/>
    <hyperlink ref="D1091" r:id="rId269" xr:uid="{FABBA587-4232-4E6B-A7F5-F11559F76881}"/>
    <hyperlink ref="D1115" r:id="rId270" xr:uid="{8EC5084F-E575-48DB-A7B2-EE76A4CF5A26}"/>
    <hyperlink ref="D1096" r:id="rId271" xr:uid="{F8CFC7AB-8F64-4AD9-85D5-3940CCC0A345}"/>
    <hyperlink ref="D1092" r:id="rId272" xr:uid="{D4F962BD-E66C-433A-86EA-D9E4905A5A9F}"/>
    <hyperlink ref="D1098" r:id="rId273" xr:uid="{32C9B0F1-0C51-4CFF-8B24-26553B86FA37}"/>
    <hyperlink ref="D1090" r:id="rId274" xr:uid="{78704D30-9DE1-46EC-9380-297056543597}"/>
    <hyperlink ref="D1114" r:id="rId275" display="mailto:contact@jbcneckerpasteur.fr" xr:uid="{0ED928F0-18AC-4D35-8202-A04254D291D8}"/>
    <hyperlink ref="D1105" r:id="rId276" xr:uid="{28094675-AB91-4E8B-ACD9-667D35FD00A4}"/>
    <hyperlink ref="D1094" r:id="rId277" xr:uid="{92C8232D-166C-4B5E-BFA9-6A7DA2BEFFF7}"/>
    <hyperlink ref="D1110" r:id="rId278" xr:uid="{E416B555-FEE7-472B-9AB3-3B9C8EFDBFFA}"/>
    <hyperlink ref="D1116" r:id="rId279" xr:uid="{5D84922C-3E00-4399-A58F-60EB650622C4}"/>
    <hyperlink ref="D1112" r:id="rId280" xr:uid="{E7C701A3-E7A0-4F5E-91A9-4A2C37C382DA}"/>
    <hyperlink ref="D1113" r:id="rId281" xr:uid="{9711EEB0-4B62-40D4-9D78-870D7368752C}"/>
    <hyperlink ref="D1107" r:id="rId282" xr:uid="{6DCDACC2-F4C9-4680-A62B-79CA015CDA86}"/>
    <hyperlink ref="D1111" r:id="rId283" xr:uid="{2FF94BCF-3A52-44E5-BF04-D24D49068962}"/>
    <hyperlink ref="D1102" r:id="rId284" xr:uid="{D123AA2E-480D-4933-93DB-DF035A21754B}"/>
    <hyperlink ref="D1122" r:id="rId285" xr:uid="{9380D900-6184-45CA-9B95-0B90C3A2ED6B}"/>
    <hyperlink ref="D1123" r:id="rId286" xr:uid="{3E99EDAD-B36D-408A-8E4E-276B219C8A87}"/>
    <hyperlink ref="D1124" r:id="rId287" xr:uid="{3079A907-6926-4F7E-BC74-B2CB9FBC7C7F}"/>
    <hyperlink ref="D1121" r:id="rId288" xr:uid="{21B34609-E0B8-4230-8979-75C2966EA5A2}"/>
    <hyperlink ref="D1130" r:id="rId289" xr:uid="{2A5071D4-A64B-4EAE-A301-76937BCAFBAB}"/>
    <hyperlink ref="D1127" r:id="rId290" xr:uid="{08B79E86-AA95-4164-8C83-4B2AF73562FB}"/>
    <hyperlink ref="D1129" r:id="rId291" xr:uid="{2BC9609E-E843-4454-8CC7-59FBF28C2899}"/>
    <hyperlink ref="D1125" r:id="rId292" xr:uid="{C891582F-87ED-4F2A-AA2B-FD2F55E07047}"/>
    <hyperlink ref="D1132" r:id="rId293" xr:uid="{B0083980-3F62-4874-9981-79104297BE12}"/>
    <hyperlink ref="D1131" r:id="rId294" xr:uid="{9EF2EADD-8DE4-41F4-8A37-1989AEC88A06}"/>
    <hyperlink ref="D1128" r:id="rId295" xr:uid="{5A2BBB1A-0AA4-4E5E-BF22-E6D0AF082089}"/>
    <hyperlink ref="D1134" r:id="rId296" xr:uid="{08870B64-49BF-4FFE-8068-6CFCF417DE30}"/>
    <hyperlink ref="D1139" r:id="rId297" xr:uid="{C2B96BBD-BF7C-4D76-996B-B874B77551E1}"/>
    <hyperlink ref="D1138" r:id="rId298" xr:uid="{FCC28956-134E-4C21-B856-AEB85E71E3AC}"/>
    <hyperlink ref="D1140" r:id="rId299" xr:uid="{A839A9E5-05E9-4E5E-9903-A9C6BF0BA647}"/>
    <hyperlink ref="D1137" r:id="rId300" xr:uid="{EB0EA564-1D75-4E5D-AE7D-A37E0101C1D4}"/>
    <hyperlink ref="D1136" r:id="rId301" xr:uid="{E2CA91B8-071D-4EE5-8E04-4A3F3ABB9ECD}"/>
    <hyperlink ref="D1133" r:id="rId302" xr:uid="{FA718D93-C7B9-4944-A45D-4860A8656EB3}"/>
    <hyperlink ref="D1191" r:id="rId303" xr:uid="{65F1CE8D-221E-4C67-9A29-3E9A6343BBE7}"/>
    <hyperlink ref="D1187" r:id="rId304" xr:uid="{D4943965-5DF2-46D2-AB52-B4FF0C67C3FC}"/>
    <hyperlink ref="D1185" r:id="rId305" xr:uid="{101B3A8E-59ED-4E9A-8F2B-340AA8F37176}"/>
    <hyperlink ref="D1180" r:id="rId306" xr:uid="{2ED5286D-8793-4D03-8F1D-510CFCA59C6A}"/>
    <hyperlink ref="D1179" r:id="rId307" xr:uid="{4EE9CAE4-AE12-4CE7-ACBF-C913F8517D10}"/>
    <hyperlink ref="D1181" r:id="rId308" xr:uid="{EB226418-68CB-4A72-B31A-1E6823CA34E2}"/>
    <hyperlink ref="D1170" r:id="rId309" xr:uid="{B2608075-19FE-4F28-9C8D-0424E954E3B4}"/>
    <hyperlink ref="D1190" r:id="rId310" xr:uid="{0190475E-E2C5-4898-9BF8-4BCB7D249EBC}"/>
    <hyperlink ref="D1169" r:id="rId311" xr:uid="{8D04B719-680A-4A58-92D1-9D502F83CC9F}"/>
    <hyperlink ref="D1188" r:id="rId312" xr:uid="{CE211355-6917-4713-AE3A-D3B8EEF740C9}"/>
    <hyperlink ref="D1184" r:id="rId313" xr:uid="{ADEFD8F2-46F2-42CE-955C-6018B7166A19}"/>
    <hyperlink ref="D1183" r:id="rId314" xr:uid="{B27B99D9-4AFF-4470-8EA2-77A3DBB05196}"/>
    <hyperlink ref="D1182" r:id="rId315" xr:uid="{C6B2EC21-4A7A-4AAF-A2EB-62114287856A}"/>
    <hyperlink ref="D1177" r:id="rId316" xr:uid="{11E1B335-EE56-40F2-8C4C-276A187482EA}"/>
    <hyperlink ref="D1176" r:id="rId317" xr:uid="{6B6D8A1F-0DE5-4C74-96C9-2E459DB51C1B}"/>
    <hyperlink ref="D1174" r:id="rId318" xr:uid="{53AA396C-3DBA-43A5-9532-F5EAA686D5F1}"/>
    <hyperlink ref="D1166" r:id="rId319" xr:uid="{C735B881-6258-44A0-A7C1-11BDF469B84B}"/>
    <hyperlink ref="D1164" r:id="rId320" xr:uid="{72A99DB1-9EF1-4552-A836-24D4627E1155}"/>
    <hyperlink ref="D1171" r:id="rId321" xr:uid="{8FA2CEC4-8A6E-4AD2-B4B9-572911DF853B}"/>
    <hyperlink ref="D1168" r:id="rId322" xr:uid="{47528816-5578-435D-8A0F-E4B3864D84DA}"/>
    <hyperlink ref="D1175" r:id="rId323" xr:uid="{ED915CFF-8306-436A-9BB9-5B8CCEF1EB8D}"/>
    <hyperlink ref="D1158" r:id="rId324" xr:uid="{9D03C42A-5700-4C69-8BA7-6D737A461306}"/>
    <hyperlink ref="D1159" r:id="rId325" xr:uid="{7E1CC3C6-B4DC-4C4B-AAD0-E2FF1116932F}"/>
    <hyperlink ref="D1178" r:id="rId326" xr:uid="{5954026B-4F1E-4F9B-962E-1B7E7669BBE2}"/>
    <hyperlink ref="D1163" r:id="rId327" xr:uid="{9D10C8E6-5323-4781-8526-5DB034CDE3A1}"/>
    <hyperlink ref="D1152" r:id="rId328" xr:uid="{1C66B0B4-D575-4F53-B3E4-3933365810CD}"/>
    <hyperlink ref="D1167" r:id="rId329" xr:uid="{0EAEC83F-1902-498A-B32F-3CA8BEE6EE33}"/>
    <hyperlink ref="D1172" r:id="rId330" xr:uid="{794F008B-F677-4907-96B3-F4DA2A40711D}"/>
    <hyperlink ref="D1157" r:id="rId331" xr:uid="{FCCF1925-C284-4A69-B24C-6BAF3ED20CF2}"/>
    <hyperlink ref="D1173" r:id="rId332" xr:uid="{412C4C0C-E9F1-4BAF-93A8-99E011A7FB58}"/>
    <hyperlink ref="D1161" r:id="rId333" xr:uid="{35A0D93A-8012-4990-B0DA-BB7EC7BC60D3}"/>
    <hyperlink ref="D1149" r:id="rId334" xr:uid="{B236F160-F414-44AF-8455-204343078519}"/>
    <hyperlink ref="D1144" r:id="rId335" xr:uid="{A0C32461-AA48-4580-AF91-4DF6A5192D6C}"/>
    <hyperlink ref="D1160" r:id="rId336" xr:uid="{F7185D5B-4CFB-4E2A-936A-A5B391241247}"/>
    <hyperlink ref="D1156" r:id="rId337" xr:uid="{9A9C7BD5-5024-48E0-9747-C001A19D4EDF}"/>
    <hyperlink ref="D1189" r:id="rId338" xr:uid="{D932423F-87BC-471E-B68F-AE39F6646CFD}"/>
    <hyperlink ref="D1165" r:id="rId339" xr:uid="{33D3FC32-294E-4564-B49E-CDE761F41737}"/>
    <hyperlink ref="D1151" r:id="rId340" xr:uid="{F59C0B55-42D7-4E4C-BC85-B04526F21BC9}"/>
    <hyperlink ref="D1150" r:id="rId341" xr:uid="{55501CA3-5E29-4A69-AA53-4B73FB37E7F0}"/>
    <hyperlink ref="D1147" r:id="rId342" xr:uid="{1C22FA1A-E00D-4130-A2F5-816CDBA7CC95}"/>
    <hyperlink ref="D1154" r:id="rId343" xr:uid="{09D537E8-E744-4B12-9971-92ADB6C511FB}"/>
    <hyperlink ref="D1155" r:id="rId344" xr:uid="{7B08D024-F78D-445A-A312-E8BEBCE648C1}"/>
    <hyperlink ref="D1148" r:id="rId345" xr:uid="{68AC0ABD-31C0-4E45-9496-03C954B7F00D}"/>
    <hyperlink ref="D1145" r:id="rId346" xr:uid="{85441E77-498E-4F7C-9301-B97469809B54}"/>
    <hyperlink ref="D1146" r:id="rId347" xr:uid="{951E5F4A-95C7-4CDC-A3E6-C00091BDE820}"/>
    <hyperlink ref="D1162" r:id="rId348" xr:uid="{517CE73A-80AF-4943-94E2-C16A6529B59C}"/>
    <hyperlink ref="D1153" r:id="rId349" xr:uid="{A77D6DA5-811E-4C70-8169-ACF4E86F1CB7}"/>
    <hyperlink ref="D1143" r:id="rId350" xr:uid="{26B4BA9C-C852-445E-BEDE-499E8AC3F3EC}"/>
    <hyperlink ref="D1142" r:id="rId351" xr:uid="{3154628E-6FE3-4931-A5F8-0F91F89968B3}"/>
    <hyperlink ref="D1186" r:id="rId352" xr:uid="{D27406EB-C87D-4359-9691-083E8FA114D8}"/>
    <hyperlink ref="D1208" r:id="rId353" xr:uid="{86CBE1E9-D4E3-44C9-9FDF-3CC327F5DF68}"/>
    <hyperlink ref="D1204" r:id="rId354" xr:uid="{E49EBA1E-DA0B-4D47-8A95-2B3DFA136730}"/>
    <hyperlink ref="D1200" r:id="rId355" xr:uid="{705609D2-6473-4300-A92E-98A7D6F1BB91}"/>
    <hyperlink ref="D1201" r:id="rId356" xr:uid="{DC2E2E25-407E-4C14-8E3C-8CDFAFA59292}"/>
    <hyperlink ref="D1199" r:id="rId357" display="mailto:michaela.semeraro@aphp.fr" xr:uid="{216F955D-5ACA-48EE-99DE-A123177FDEFF}"/>
    <hyperlink ref="D1197" r:id="rId358" xr:uid="{F65DD1B7-CF85-4633-8E4A-679B08E1D4CE}"/>
    <hyperlink ref="D1194" r:id="rId359" xr:uid="{0CA02B3B-92BA-493B-978B-1DA0F67853A0}"/>
    <hyperlink ref="D1193" r:id="rId360" xr:uid="{894C3B8D-F66B-4E4D-B75A-9EA2625C1323}"/>
    <hyperlink ref="D1207" r:id="rId361" xr:uid="{4269AC58-D0B6-46D9-AED9-75E94AFF416A}"/>
    <hyperlink ref="D1203" r:id="rId362" xr:uid="{8D3C5497-BD4D-4CAA-9188-C2A7992D07D8}"/>
    <hyperlink ref="D1192" r:id="rId363" xr:uid="{0B08EE5D-7897-4F2F-9D30-FB28132B45B8}"/>
    <hyperlink ref="D1206" r:id="rId364" xr:uid="{0A658F15-A971-4AB8-BD06-1E354F098903}"/>
    <hyperlink ref="D1196" r:id="rId365" xr:uid="{78A3C56D-DFE7-4F47-A28C-BDA6EC3BB3C9}"/>
    <hyperlink ref="D1198" r:id="rId366" xr:uid="{0B78CD51-C838-4DAB-A093-5BCE32771AB7}"/>
    <hyperlink ref="D1205" r:id="rId367" xr:uid="{95644366-6800-45D9-B42B-EFB251B6E233}"/>
    <hyperlink ref="D1202" r:id="rId368" xr:uid="{79450D47-4B7B-45F2-B81D-6D73EA495F4B}"/>
    <hyperlink ref="D1275" r:id="rId369" xr:uid="{32FB0A93-71DF-46B6-B694-2D7F62929DAD}"/>
    <hyperlink ref="D1273" r:id="rId370" xr:uid="{FBA9FFEF-9C27-40E4-B651-8489D33FF4EE}"/>
    <hyperlink ref="D1268" r:id="rId371" xr:uid="{3A9B3613-C431-42E1-8F73-4A431020AA65}"/>
    <hyperlink ref="D1272" r:id="rId372" xr:uid="{AD562971-BD35-4D16-8A84-58B01A393262}"/>
    <hyperlink ref="D1271" r:id="rId373" xr:uid="{18C8E373-79AD-4324-8100-213F00B27D2F}"/>
    <hyperlink ref="D1269" r:id="rId374" xr:uid="{7941347E-EBAB-4903-920D-01AFA0F3C2AA}"/>
    <hyperlink ref="D1266" r:id="rId375" xr:uid="{BD479819-3B06-418D-8952-DF65584EBC9E}"/>
    <hyperlink ref="D1261" r:id="rId376" xr:uid="{5853939C-C047-4F1B-B897-30BC1FBA0C11}"/>
    <hyperlink ref="D1270" r:id="rId377" xr:uid="{0DB370A4-41BC-40FF-830F-167AC3EA8D1F}"/>
    <hyperlink ref="D1265" r:id="rId378" xr:uid="{4C29A0AE-9075-497C-878F-7262DC346848}"/>
    <hyperlink ref="D1262" r:id="rId379" xr:uid="{7C381B1E-E9B4-4A8F-9E5F-41BB907DDE1C}"/>
    <hyperlink ref="D1260" r:id="rId380" xr:uid="{2E83C19E-6840-4B4C-AA54-7DF39830C3DE}"/>
    <hyperlink ref="D1259" r:id="rId381" xr:uid="{E7629113-5274-4995-8454-209D10C24497}"/>
    <hyperlink ref="D1258" r:id="rId382" xr:uid="{DF0B3F93-7316-4E6C-B63A-5B39D9A8B82D}"/>
    <hyperlink ref="D1254" r:id="rId383" xr:uid="{EBA38085-8ABE-45AD-AB51-91156BD9F8A8}"/>
    <hyperlink ref="D1253" r:id="rId384" xr:uid="{8C1974BC-B93D-4752-AB64-EF0C7C75F572}"/>
    <hyperlink ref="D1252" r:id="rId385" xr:uid="{649A0326-355C-4C21-AB3F-FEA023247964}"/>
    <hyperlink ref="D1256" r:id="rId386" xr:uid="{0174E9F1-0724-468B-9124-AFB4621166FE}"/>
    <hyperlink ref="D1257" r:id="rId387" xr:uid="{3EDB8A1E-99D2-4833-9F19-1B36AFD12226}"/>
    <hyperlink ref="D1245" r:id="rId388" xr:uid="{46FACA1D-3951-4419-B1FD-791247F8DFA5}"/>
    <hyperlink ref="D1251" r:id="rId389" xr:uid="{FF20D34C-3A71-4D90-93A1-2ED3078261DD}"/>
    <hyperlink ref="D1250" r:id="rId390" xr:uid="{F713EC15-2E78-493C-B64F-1697CDF1F41D}"/>
    <hyperlink ref="D1249" r:id="rId391" xr:uid="{AD7265B1-6661-49F3-BE99-ACF2FB42BBA0}"/>
    <hyperlink ref="D1248" r:id="rId392" xr:uid="{3020DA36-6804-4209-ABA5-E02BC0D7892B}"/>
    <hyperlink ref="D1247" r:id="rId393" xr:uid="{054A2653-851D-49AB-A7B4-4D8336718C3C}"/>
    <hyperlink ref="D1244" r:id="rId394" xr:uid="{78260E9C-B55F-429D-A105-0DC48545B2DE}"/>
    <hyperlink ref="D1243" r:id="rId395" xr:uid="{8983689C-ADFF-463E-BA62-4FFFC8A3FED5}"/>
    <hyperlink ref="D1242" r:id="rId396" xr:uid="{EB9803B6-ABB1-4C27-96DB-CB1C3647FB6A}"/>
    <hyperlink ref="D1246" r:id="rId397" xr:uid="{88FC78F7-5632-45CB-BC74-CD0A7C910990}"/>
    <hyperlink ref="D1230" r:id="rId398" xr:uid="{A84AFD82-C641-43AC-B582-5A68DBBE7F40}"/>
    <hyperlink ref="D1255" r:id="rId399" xr:uid="{FD63A681-B8C9-492D-8962-BCAB0749AD86}"/>
    <hyperlink ref="D1235" r:id="rId400" xr:uid="{D9395023-02C5-4BBE-B773-88E22A7D479B}"/>
    <hyperlink ref="D1228" r:id="rId401" xr:uid="{E1EE81B3-D997-491E-B2F5-F5E8484CCE6E}"/>
    <hyperlink ref="D1224" r:id="rId402" xr:uid="{8E5C31BE-504D-41B0-9201-688408603364}"/>
    <hyperlink ref="D1221" r:id="rId403" xr:uid="{A97484AB-C7F2-47A8-B091-28D38EAE1C77}"/>
    <hyperlink ref="D1240" r:id="rId404" xr:uid="{45F2140F-943D-4AB1-94C2-0B321B13CEF3}"/>
    <hyperlink ref="D1239" r:id="rId405" xr:uid="{F79010B8-DBF5-4BB4-A0C3-F16C3881A436}"/>
    <hyperlink ref="D1234" r:id="rId406" xr:uid="{8E058CC2-2435-4AEE-9AA0-3B6B3ED76BD0}"/>
    <hyperlink ref="D1231" r:id="rId407" xr:uid="{7C4B8454-CA27-4C24-9958-BFBCFE3D6373}"/>
    <hyperlink ref="D1229" r:id="rId408" xr:uid="{6C9F4987-8B28-43AC-A4B2-088BED988EBA}"/>
    <hyperlink ref="D1227" r:id="rId409" xr:uid="{2435D801-7F98-41E9-8E89-43440DF5F063}"/>
    <hyperlink ref="D1226" r:id="rId410" xr:uid="{304D532F-884F-44BF-BCEE-E26883749788}"/>
    <hyperlink ref="D1223" r:id="rId411" xr:uid="{63070E2A-41BC-4E66-A887-CE2A4E9E0029}"/>
    <hyperlink ref="D1225" r:id="rId412" xr:uid="{DC234E4E-4237-4A30-A13B-C271DA03F53A}"/>
    <hyperlink ref="D1222" r:id="rId413" xr:uid="{0063E514-88F1-4856-8A4D-E4336D33EB61}"/>
    <hyperlink ref="D1220" r:id="rId414" xr:uid="{73DBE347-CD57-4E7F-853D-EBC0B3002730}"/>
    <hyperlink ref="D1219" r:id="rId415" xr:uid="{C9F6A1FE-1A5C-42AC-8FD6-3B1667A082E6}"/>
    <hyperlink ref="D1264" r:id="rId416" xr:uid="{35862C16-DFF6-4613-860F-AEF50432B5B3}"/>
    <hyperlink ref="D1217" r:id="rId417" xr:uid="{56AED99B-D9FB-46A0-BB8D-00CF60DE0162}"/>
    <hyperlink ref="D1216" r:id="rId418" xr:uid="{DDBB3412-23F3-4DE7-BB0B-DF4F3C9DE112}"/>
    <hyperlink ref="D1215" r:id="rId419" xr:uid="{77875B83-BACD-46D8-A321-FEB3BDB6492A}"/>
    <hyperlink ref="D1214" r:id="rId420" xr:uid="{9D1A6321-B522-48F4-9E08-F4B7726DEEEB}"/>
    <hyperlink ref="D1263" r:id="rId421" xr:uid="{89E0C07F-E1F2-4AD6-9FF3-FE6DCB38F148}"/>
    <hyperlink ref="D1238" r:id="rId422" xr:uid="{024838BA-5531-40C2-9DAA-A7E2D3BFA591}"/>
    <hyperlink ref="D1212" r:id="rId423" xr:uid="{C187AA3D-EE6B-4B8C-9FBE-2883DAAED30B}"/>
    <hyperlink ref="D1213" r:id="rId424" xr:uid="{98AE2C7D-2CFB-43DD-9A7D-56E6E8906E00}"/>
    <hyperlink ref="D1211" r:id="rId425" xr:uid="{A00D5523-4794-4D6D-B4B3-AE737C8EEB9C}"/>
    <hyperlink ref="D1241" r:id="rId426" xr:uid="{99A6CFC4-90AF-495A-9DCE-7EC7FFD74D42}"/>
    <hyperlink ref="D1233" r:id="rId427" xr:uid="{62567F5E-93C7-48BA-9F75-D976433E603F}"/>
    <hyperlink ref="D1232" r:id="rId428" xr:uid="{584F4A3D-C09E-49CB-AC0F-298847262E4C}"/>
    <hyperlink ref="D1210" r:id="rId429" xr:uid="{19F64703-54CB-4B5D-9C38-60BE0280DC19}"/>
    <hyperlink ref="D1237" r:id="rId430" xr:uid="{0782DD67-159B-4418-8528-58DD3B875B08}"/>
    <hyperlink ref="D1218" r:id="rId431" xr:uid="{3B1FC184-7AF5-455A-88E3-4FF5E92F5223}"/>
    <hyperlink ref="D1236" r:id="rId432" xr:uid="{8A41FCB9-B8C3-4344-A656-DAD2B4D4C703}"/>
    <hyperlink ref="D1274" r:id="rId433" xr:uid="{86FB3970-382A-4751-8D46-1A3037C49FA6}"/>
    <hyperlink ref="D1286" r:id="rId434" xr:uid="{EB64FA66-0BE2-4400-8B3F-ADB5561026BF}"/>
    <hyperlink ref="D1285" r:id="rId435" xr:uid="{25B82C5E-D8B3-4CDD-87EF-D4B55E31B4A9}"/>
    <hyperlink ref="D1284" r:id="rId436" xr:uid="{DF655D29-791F-4CD4-BF06-A54F03D3BFFE}"/>
    <hyperlink ref="D1283" r:id="rId437" xr:uid="{B52E8CB7-CF02-48B5-AD8F-5ECDC377C86E}"/>
    <hyperlink ref="D1282" r:id="rId438" xr:uid="{A48BC00C-3BF6-4572-A6F8-F4A805085668}"/>
    <hyperlink ref="D1279" r:id="rId439" xr:uid="{8CDC6102-34FF-49DD-AFD5-611C17D9901D}"/>
    <hyperlink ref="D1278" r:id="rId440" xr:uid="{A205493B-9A9C-4CE8-A1C8-3FA4D5BD6848}"/>
    <hyperlink ref="D1277" r:id="rId441" xr:uid="{A87BAE76-1784-4A04-9A70-4A58132753AA}"/>
    <hyperlink ref="D1280" r:id="rId442" xr:uid="{A74E66FE-B6E1-49A1-A960-D8E59E67BC46}"/>
    <hyperlink ref="D1281" r:id="rId443" xr:uid="{19C6131D-6924-46D3-8E45-91C6A55E96B3}"/>
    <hyperlink ref="D1288" r:id="rId444" xr:uid="{7C485B42-ED27-414F-A742-C63CD0027D92}"/>
    <hyperlink ref="D1293" r:id="rId445" xr:uid="{8CB41F08-3EB6-492E-A689-A507720CE8F3}"/>
    <hyperlink ref="D1292" r:id="rId446" xr:uid="{8370B43F-F583-4F25-A4D7-73A01A919B58}"/>
    <hyperlink ref="D1291" r:id="rId447" xr:uid="{F2CB0606-A910-4926-8CD3-1BEEC9257869}"/>
    <hyperlink ref="D1290" r:id="rId448" xr:uid="{55BA004F-F1E0-42AC-A616-FB1BD71A5738}"/>
    <hyperlink ref="D1289" r:id="rId449" xr:uid="{9A2EDDD4-E45E-42FB-9427-101D460D3D75}"/>
    <hyperlink ref="D1362" r:id="rId450" xr:uid="{6C4C50B0-27E9-4A95-BECF-B24E94A19A7B}"/>
    <hyperlink ref="D1363" r:id="rId451" xr:uid="{4FE8C006-2D23-49F4-B2BA-DCFADDBA16DF}"/>
    <hyperlink ref="D1361" r:id="rId452" xr:uid="{02B15919-3ABA-4F0C-8B1B-155010E70660}"/>
    <hyperlink ref="D1360" r:id="rId453" xr:uid="{CF796E0F-FE76-423C-88FE-ECCB8A3466D2}"/>
    <hyperlink ref="D1359" r:id="rId454" xr:uid="{D7870FF9-93E5-4822-AF06-04CD9349A5C0}"/>
    <hyperlink ref="D1358" r:id="rId455" xr:uid="{99CC4F7B-32BE-4B7C-B413-AE6D771C3DC1}"/>
    <hyperlink ref="D1357" r:id="rId456" xr:uid="{3727877E-06A2-4BF1-9D7D-82B4D8F35B44}"/>
    <hyperlink ref="D1356" r:id="rId457" xr:uid="{A08ECB11-EA40-4E2D-85C3-49F8A3A672AD}"/>
    <hyperlink ref="D1355" r:id="rId458" xr:uid="{C9BE4DE5-EC78-4942-94F9-C7CBE56F28B9}"/>
    <hyperlink ref="D1354" r:id="rId459" xr:uid="{D6E94F9B-F03D-45D7-A550-D69201EDAB02}"/>
    <hyperlink ref="D1353" r:id="rId460" xr:uid="{95A99BD8-49F1-40C2-9265-9250D4D88889}"/>
    <hyperlink ref="D1352" r:id="rId461" xr:uid="{94C09192-D3F4-4910-B902-361D2DD27F21}"/>
    <hyperlink ref="D1351" r:id="rId462" xr:uid="{F5C1BFA8-F91F-481E-9DA7-148A7319DB06}"/>
    <hyperlink ref="D1345" r:id="rId463" xr:uid="{B6FEB5CC-8DD2-4844-AD15-AB8D8AD55E42}"/>
    <hyperlink ref="D1349" r:id="rId464" xr:uid="{20568885-A4B2-4C65-BCD2-B91BB0FB2210}"/>
    <hyperlink ref="D1347" r:id="rId465" xr:uid="{00493ECA-1450-40B9-A71C-E547F4493AA4}"/>
    <hyperlink ref="D1346" r:id="rId466" xr:uid="{E1FB4F0A-6D36-4BDC-BEA4-DB182F0BFF93}"/>
    <hyperlink ref="D1343" r:id="rId467" xr:uid="{EB4F12F5-8A24-47DB-8E58-6557228F09A3}"/>
    <hyperlink ref="D1342" r:id="rId468" xr:uid="{58C2AEFB-F34C-42B3-8F05-87BAE8B20D2D}"/>
    <hyperlink ref="D1340" r:id="rId469" xr:uid="{A9D42EC2-3629-47CE-B79E-5A04EBAC0DA5}"/>
    <hyperlink ref="D1330" r:id="rId470" xr:uid="{41748E53-C418-4F6D-B4C2-19B79895B06D}"/>
    <hyperlink ref="D1332" r:id="rId471" xr:uid="{C471C913-1994-4834-8804-45BBB85BA362}"/>
    <hyperlink ref="D1339" r:id="rId472" xr:uid="{BD0102C3-20A1-4C6A-8828-9F1B8645E184}"/>
    <hyperlink ref="D1338" r:id="rId473" xr:uid="{E5395C3A-8D1B-4256-80ED-12B227B7EBF0}"/>
    <hyperlink ref="D1337" r:id="rId474" xr:uid="{8FA4A7CC-509D-4471-AD62-6F9A41CAC96E}"/>
    <hyperlink ref="D1336" r:id="rId475" xr:uid="{4298FCD9-0321-4807-B337-F04A90BB307B}"/>
    <hyperlink ref="D1335" r:id="rId476" display="mailto:megane.brusson@institutimagine.org" xr:uid="{33C72F63-E0C3-40ED-A029-4010A45A8979}"/>
    <hyperlink ref="D1333" r:id="rId477" display="mailto:ines.rajbaoui@institutimagine.org" xr:uid="{4F072259-16A4-4B8B-BBC1-BDFB8DF914F4}"/>
    <hyperlink ref="D1329" r:id="rId478" xr:uid="{6C20D11A-A282-45C6-8809-38668C2F7B09}"/>
    <hyperlink ref="D1328" r:id="rId479" xr:uid="{37B4FE7A-A56F-4FF4-B48E-B9F84502588A}"/>
    <hyperlink ref="D1327" r:id="rId480" xr:uid="{206E2364-BDA6-40B7-86F6-7FA39E2A95E8}"/>
    <hyperlink ref="D1326" r:id="rId481" xr:uid="{20F995EF-9B0A-4FFA-9286-41DDD75C05D6}"/>
    <hyperlink ref="D1325" r:id="rId482" xr:uid="{C52D7AE6-97C8-45FC-AD2F-D85F4725CFE4}"/>
    <hyperlink ref="D1324" r:id="rId483" xr:uid="{0855A918-D7B9-4628-8975-893F0C20F288}"/>
    <hyperlink ref="D1323" r:id="rId484" xr:uid="{77D5D65B-F53C-4814-9A96-737BB2753D69}"/>
    <hyperlink ref="D1319" r:id="rId485" xr:uid="{0D49C618-E5A2-4F10-A40C-D9A5CB87BAF9}"/>
    <hyperlink ref="D1318" r:id="rId486" xr:uid="{367FF8DD-0056-432D-96FF-A3A0E25E437E}"/>
    <hyperlink ref="D1316" r:id="rId487" xr:uid="{56955803-668D-4D3B-A82B-B45201881914}"/>
    <hyperlink ref="D1315" r:id="rId488" xr:uid="{157873E5-0867-48A3-888D-3767B8E9E1DD}"/>
    <hyperlink ref="D1321" r:id="rId489" xr:uid="{0F0A320F-2727-4ED2-AFE7-9D82CC7A4CE7}"/>
    <hyperlink ref="D1313" r:id="rId490" xr:uid="{505FF0C1-71A3-497D-BA79-F03B36262599}"/>
    <hyperlink ref="D1311" r:id="rId491" xr:uid="{F9F9811B-0773-4522-B7F8-3EDBCF0C59C9}"/>
    <hyperlink ref="D1312" r:id="rId492" xr:uid="{AAFD7D8C-FD90-46FE-9554-872AEC9B6E6C}"/>
    <hyperlink ref="D1309" r:id="rId493" xr:uid="{8A44343E-754B-4345-A3D3-78ECDDCDF2AE}"/>
    <hyperlink ref="D1307" r:id="rId494" xr:uid="{D9CDCE29-882F-4809-A8AB-5565B78F878E}"/>
    <hyperlink ref="D1306" r:id="rId495" xr:uid="{541D57AA-7652-4E66-A67F-B9B01646331B}"/>
    <hyperlink ref="D1305" r:id="rId496" xr:uid="{F43A6D21-2178-40FF-B14B-BF621B3ED07F}"/>
    <hyperlink ref="D1304" r:id="rId497" xr:uid="{71F4936A-FC04-46DC-B824-7B8E80E7D4A9}"/>
    <hyperlink ref="D1303" r:id="rId498" xr:uid="{B50C30F2-BE04-41D1-8053-1798E0B7D4C5}"/>
    <hyperlink ref="D1301" r:id="rId499" xr:uid="{70C366E0-9924-4952-9E99-5EF507D23AF8}"/>
    <hyperlink ref="D1334" r:id="rId500" xr:uid="{CECAC51F-4690-4474-AA41-67CD347CBD3A}"/>
    <hyperlink ref="D1331" r:id="rId501" xr:uid="{2A829F4B-A62D-42BB-92A1-2B5DBECDB2AF}"/>
    <hyperlink ref="D1308" r:id="rId502" xr:uid="{F01B9CAB-7643-4265-9F9D-F33288FA48F6}"/>
    <hyperlink ref="D1302" r:id="rId503" xr:uid="{1474586D-301F-4EC8-B969-B820E101C1C1}"/>
    <hyperlink ref="D1300" r:id="rId504" xr:uid="{747512A8-7E32-46C9-9E79-0D966997377D}"/>
    <hyperlink ref="D1298" r:id="rId505" xr:uid="{0BAD7243-43FE-4FFE-BE4E-CD4DFF01EBEA}"/>
    <hyperlink ref="D1314" r:id="rId506" xr:uid="{D2ECC9FE-B678-40F7-BE29-03FDF35679CC}"/>
    <hyperlink ref="D1299" r:id="rId507" xr:uid="{A7B9B926-3560-4C7B-8E63-42DCEDF2086F}"/>
    <hyperlink ref="D1320" r:id="rId508" xr:uid="{3A7BD0D2-755E-47E9-8FB4-1EFB3AC0E26D}"/>
    <hyperlink ref="D1322" r:id="rId509" xr:uid="{8B5CD860-54E6-4EDE-AC7D-655CAAE5C36F}"/>
    <hyperlink ref="D1350" r:id="rId510" xr:uid="{8FB58845-4915-48C7-858C-05590D4305EB}"/>
    <hyperlink ref="D1310" r:id="rId511" xr:uid="{BBC40B8F-7AF2-4EB0-8352-62281B1FC5B4}"/>
    <hyperlink ref="D1317" r:id="rId512" xr:uid="{83E07E89-5794-4E32-9A0C-834C97C85D2D}"/>
    <hyperlink ref="D1296" r:id="rId513" xr:uid="{55013420-8F5D-4688-B07D-B5B6D78DD773}"/>
    <hyperlink ref="D1294" r:id="rId514" xr:uid="{4B763ACA-64CB-449A-864C-2A31AE31D3A7}"/>
    <hyperlink ref="D1348" r:id="rId515" xr:uid="{FAE615EE-ECE6-41A8-B9EF-2C85A0A6C629}"/>
    <hyperlink ref="D1341" r:id="rId516" xr:uid="{6361E248-F1DA-4177-BA8D-F3C6F31EAA9B}"/>
    <hyperlink ref="D1403" r:id="rId517" xr:uid="{E33958F3-514D-459C-8EDC-3F67DEAB73FC}"/>
    <hyperlink ref="D1402" r:id="rId518" xr:uid="{8647C853-F384-4FC0-9A7A-C8FF10E63133}"/>
    <hyperlink ref="D1399" r:id="rId519" xr:uid="{33954231-3125-44B0-B722-167629F93D22}"/>
    <hyperlink ref="D1405" r:id="rId520" xr:uid="{1185ED63-78D0-4ACE-A6AA-0FBB6B76D5AF}"/>
    <hyperlink ref="D1397" r:id="rId521" xr:uid="{8D0253F9-9494-4695-9E90-9CAA0DD386BF}"/>
    <hyperlink ref="D1396" r:id="rId522" xr:uid="{676E9923-35D9-4EB2-A333-B4F27BFCAE0C}"/>
    <hyperlink ref="D1395" r:id="rId523" xr:uid="{6A6EBB11-26F6-43A5-85ED-850723CECA29}"/>
    <hyperlink ref="D1394" r:id="rId524" xr:uid="{7828C5B9-F211-47AB-8B47-6DFDCA16AD64}"/>
    <hyperlink ref="D1393" r:id="rId525" xr:uid="{626643C4-CFFB-40CA-933C-F2BFCCF26890}"/>
    <hyperlink ref="D1392" r:id="rId526" xr:uid="{9F0657EB-57BF-47DC-88AF-D04A495C2C3D}"/>
    <hyperlink ref="D1391" r:id="rId527" xr:uid="{99157FEE-01BA-47E6-80A6-3117E282F53B}"/>
    <hyperlink ref="D1390" r:id="rId528" xr:uid="{4C7CB1C9-9FBE-4850-A4FC-B1E90B9D6B83}"/>
    <hyperlink ref="D1400" r:id="rId529" xr:uid="{A5D9BD85-D055-4D8E-8BAD-6304A2FB63FE}"/>
    <hyperlink ref="D1388" r:id="rId530" xr:uid="{84BB473A-FF8E-4DBB-8237-0C27C5E3A3E4}"/>
    <hyperlink ref="D1401" r:id="rId531" xr:uid="{0B443329-39B0-4D32-9294-7A64A56F644F}"/>
    <hyperlink ref="D1389" r:id="rId532" xr:uid="{F3A1AA2D-2312-4961-BE6C-E644DAD4550A}"/>
    <hyperlink ref="D1387" r:id="rId533" xr:uid="{9036010E-98CD-4157-BCFC-79B7CD9C6597}"/>
    <hyperlink ref="D1386" r:id="rId534" xr:uid="{972A0106-4BC7-48CC-8F9E-0DD22E3FD676}"/>
    <hyperlink ref="D1385" r:id="rId535" xr:uid="{9BD7AEF3-3BAA-4A6D-81C7-F2D398F57A33}"/>
    <hyperlink ref="D1384" r:id="rId536" xr:uid="{A579C71F-3C4F-40D3-850F-7BDC0CD66C24}"/>
    <hyperlink ref="D1404" r:id="rId537" xr:uid="{F5FC2E38-4415-4337-8E77-C0070DB923E3}"/>
    <hyperlink ref="D1379" r:id="rId538" xr:uid="{B9E3209F-B5BF-4E46-A65F-A60552688AF6}"/>
    <hyperlink ref="D1382" r:id="rId539" xr:uid="{47D23FD1-4B30-4F43-BDE0-12DE33FE8C23}"/>
    <hyperlink ref="D1383" r:id="rId540" xr:uid="{66C7DAB2-17A5-488A-9482-3D4F805BAB47}"/>
    <hyperlink ref="D1381" r:id="rId541" xr:uid="{E04A151E-8F6A-4CD7-ABE5-457E353ED7E3}"/>
    <hyperlink ref="D1380" r:id="rId542" xr:uid="{EDADF7AE-0AFE-456C-9BCE-6D4BC39FA648}"/>
    <hyperlink ref="D1375" r:id="rId543" xr:uid="{41181319-49AC-47E9-979E-3EF03B8999A2}"/>
    <hyperlink ref="D1372" r:id="rId544" xr:uid="{365E91D9-96BF-4802-AA02-22ABCCFB2E1E}"/>
    <hyperlink ref="D1398" r:id="rId545" xr:uid="{2E946728-1C31-4C81-90A8-73ED25974E7C}"/>
    <hyperlink ref="D1368" r:id="rId546" xr:uid="{0C9D3E5C-36BE-4EAD-8483-525E4690DDFE}"/>
    <hyperlink ref="D1377" r:id="rId547" xr:uid="{BD8ED120-7D8D-45FE-A9B7-B145EB9E0DE3}"/>
    <hyperlink ref="D1374" r:id="rId548" xr:uid="{7985B11F-524C-440C-AE53-0A0D9BC51DE1}"/>
    <hyperlink ref="D1373" r:id="rId549" xr:uid="{F3BCF696-2AF7-49A2-88AD-63770D75EEAE}"/>
    <hyperlink ref="D1371" r:id="rId550" xr:uid="{BA1C8613-6323-41E2-8590-5DD9CAD8B6F5}"/>
    <hyperlink ref="D1370" r:id="rId551" xr:uid="{ECE1B42E-2677-4EA0-A3A4-3C2510E75E3B}"/>
    <hyperlink ref="D1369" r:id="rId552" xr:uid="{5CA4BA4F-4770-415F-B6C2-C6B6967E2E0E}"/>
    <hyperlink ref="D1366" r:id="rId553" xr:uid="{C9412110-EFB1-4A07-B331-D146DE18F900}"/>
    <hyperlink ref="D1365" r:id="rId554" xr:uid="{7271E13D-53D0-4820-845A-E58F0460833C}"/>
    <hyperlink ref="D1376" r:id="rId555" xr:uid="{F284C1D0-5591-4DA8-8178-4020BDFD3427}"/>
    <hyperlink ref="D1378" r:id="rId556" xr:uid="{D255FA59-21FB-42EF-9B31-F95804F598B4}"/>
    <hyperlink ref="D1367" r:id="rId557" xr:uid="{8CB81F47-E8F6-40AE-8DE3-2D1020F1D30F}"/>
    <hyperlink ref="D1410" r:id="rId558" xr:uid="{752F2885-7615-429F-A6E2-4647069D8AC9}"/>
    <hyperlink ref="D1408" r:id="rId559" xr:uid="{342171C1-F087-4F17-971E-AE899ABFB7BA}"/>
    <hyperlink ref="D1406" r:id="rId560" xr:uid="{CA8F34EE-66A0-4FEE-A828-10EC5555B0F0}"/>
    <hyperlink ref="D1409" r:id="rId561" xr:uid="{E15CBFBB-9650-42AD-9DEF-1730A59874A7}"/>
    <hyperlink ref="D1416" r:id="rId562" xr:uid="{AD8EED59-467B-4696-8CAC-8609892BC275}"/>
    <hyperlink ref="D1415" r:id="rId563" xr:uid="{F4D95EE9-E7B0-4F7A-80F8-179E3616694D}"/>
    <hyperlink ref="D1414" r:id="rId564" xr:uid="{AE45FE34-769B-4C03-AFE9-0C724277D381}"/>
    <hyperlink ref="D1412" r:id="rId565" xr:uid="{AECA3D48-8997-4C2F-9365-955F2916D238}"/>
    <hyperlink ref="D1413" r:id="rId566" xr:uid="{202BEDC7-12E9-492E-B8FE-9A503AEA9C44}"/>
    <hyperlink ref="D1417" r:id="rId567" xr:uid="{3565EB6C-6911-47DA-BB5A-AFB8CA06C674}"/>
    <hyperlink ref="D1419" r:id="rId568" xr:uid="{F34492E0-0E06-4956-9614-F19D6C2B09E5}"/>
    <hyperlink ref="D1418" r:id="rId569" xr:uid="{7FC9DC3A-9588-4C92-871D-F88742F40337}"/>
    <hyperlink ref="D1427" r:id="rId570" xr:uid="{8E3B6AAB-7818-4857-9C3D-CDD7E8B6213D}"/>
    <hyperlink ref="D1424" r:id="rId571" xr:uid="{252D6EE0-8BD8-4476-9A9B-BA3B02012875}"/>
    <hyperlink ref="D1425" r:id="rId572" xr:uid="{0141AEC0-3684-4DE5-82B7-5E57B11868E9}"/>
    <hyperlink ref="D1423" r:id="rId573" xr:uid="{0999CAE4-20DD-405D-AEAD-6BA6A4D226E4}"/>
    <hyperlink ref="D1421" r:id="rId574" xr:uid="{7C337A7D-0E7A-40CE-8F23-3A816E8C0E31}"/>
    <hyperlink ref="D1426" r:id="rId575" xr:uid="{B3EF2D7B-E29A-4A15-86C4-E352130E57AF}"/>
    <hyperlink ref="D1456" r:id="rId576" xr:uid="{3A74C656-310A-4369-BBE5-0B9670FFC092}"/>
    <hyperlink ref="D1455" r:id="rId577" xr:uid="{173D19CD-5486-4F03-AF59-326BB1A14EC7}"/>
    <hyperlink ref="D1454" r:id="rId578" xr:uid="{953ABA85-7907-418D-BAE8-B59638A16F02}"/>
    <hyperlink ref="D1453" r:id="rId579" xr:uid="{2056B085-EED3-469D-BEFD-A626C2533DFF}"/>
    <hyperlink ref="D1452" r:id="rId580" xr:uid="{6ED7881B-71A9-4802-8752-3E2DF811FE4D}"/>
    <hyperlink ref="D1450" r:id="rId581" xr:uid="{F1DB9CFB-4D8C-4D25-A3CD-AE8C5CA500CC}"/>
    <hyperlink ref="D1443" r:id="rId582" xr:uid="{B356785C-31A5-4C88-8CE5-C4C76FA6DF42}"/>
    <hyperlink ref="D1448" r:id="rId583" xr:uid="{CF9EDA83-ABC3-42ED-88CD-614AF55B9F7D}"/>
    <hyperlink ref="D1449" r:id="rId584" xr:uid="{2191FAA6-96D0-412F-99EE-5BC6E7C29BC7}"/>
    <hyperlink ref="D1445" r:id="rId585" xr:uid="{5C55AFE4-0C20-4ECB-B804-A6A6777D266D}"/>
    <hyperlink ref="D1444" r:id="rId586" xr:uid="{3641BD62-EEE9-43E3-B364-7AACA56385BC}"/>
    <hyperlink ref="D1437" r:id="rId587" xr:uid="{28699E27-BB8D-45BF-ABED-2F30CC7B9190}"/>
    <hyperlink ref="D1435" r:id="rId588" xr:uid="{4F84445C-2C49-4054-ABBE-184AA2A63B18}"/>
    <hyperlink ref="D1433" r:id="rId589" xr:uid="{555418BD-8BD4-49B4-AA88-E2D3FBC12DF5}"/>
    <hyperlink ref="D1441" r:id="rId590" xr:uid="{895634FD-B37E-4745-A5A5-FB03F50E9CEC}"/>
    <hyperlink ref="D1440" r:id="rId591" xr:uid="{6BAD6395-98A4-40EE-8885-E2090D02E76D}"/>
    <hyperlink ref="D1439" r:id="rId592" xr:uid="{BC3B9834-948C-4237-AF24-8DA0F3870135}"/>
    <hyperlink ref="D1438" r:id="rId593" xr:uid="{A4B3515F-CD4B-431E-B786-BC425E6689AB}"/>
    <hyperlink ref="D1436" r:id="rId594" xr:uid="{E05410B7-8A82-42C9-BC7D-43B452824932}"/>
    <hyperlink ref="D1434" r:id="rId595" xr:uid="{1AA456C9-5AE0-4E69-979D-26AECF4BA6BB}"/>
    <hyperlink ref="D1432" r:id="rId596" xr:uid="{DE1A1946-B35A-4648-BD7A-6F30FC78D448}"/>
    <hyperlink ref="D1431" r:id="rId597" xr:uid="{A729D791-8F5F-43AA-A17A-90317D6638E2}"/>
    <hyperlink ref="D1430" r:id="rId598" xr:uid="{49654AC9-AA81-4825-A2C2-BF061AC525B4}"/>
    <hyperlink ref="D1442" r:id="rId599" xr:uid="{E9A4F9DC-6837-45B5-A82C-3501A46E1376}"/>
    <hyperlink ref="D1428" r:id="rId600" xr:uid="{6741AD72-25E9-4D31-86A4-41E5F02E5B2A}"/>
    <hyperlink ref="D1446" r:id="rId601" xr:uid="{105F9191-F288-4699-9EBB-D2D614875D14}"/>
    <hyperlink ref="D1451" r:id="rId602" xr:uid="{D5C62E12-38C2-4793-B3D1-4326596E3F74}"/>
    <hyperlink ref="D1447" r:id="rId603" xr:uid="{D38A3A26-B115-44B2-A17F-0ADB7664E5C5}"/>
    <hyperlink ref="D1459" r:id="rId604" xr:uid="{4B42BD82-E62C-44D4-AD95-3B1CA8B916C2}"/>
    <hyperlink ref="D1457" r:id="rId605" xr:uid="{F90D1138-65C3-4FC6-9C2E-0BECB1340F80}"/>
    <hyperlink ref="D1476" r:id="rId606" xr:uid="{B9F016FC-9AE0-4CFB-A18B-56818B54FBF7}"/>
    <hyperlink ref="D1478" r:id="rId607" xr:uid="{29A11C47-AAF1-4AA5-8AF1-B0A762B2368A}"/>
    <hyperlink ref="D1477" r:id="rId608" xr:uid="{6FBF4979-72FE-434B-974A-58C61B6A1CFA}"/>
    <hyperlink ref="D1475" r:id="rId609" xr:uid="{9DAF93E8-6023-4AC6-8E3D-099AFC52BB6E}"/>
    <hyperlink ref="D1473" r:id="rId610" xr:uid="{00623F9C-AE2D-43FA-B9CD-A678FC2B4DB6}"/>
    <hyperlink ref="D1472" r:id="rId611" xr:uid="{78C6878A-31E3-451C-B315-C024DCA43108}"/>
    <hyperlink ref="D1470" r:id="rId612" xr:uid="{65743AD0-BE98-400F-AB2A-2BFD388035E3}"/>
    <hyperlink ref="D1469" r:id="rId613" xr:uid="{2331C68F-5A52-4B15-91C9-8FE543DA5403}"/>
    <hyperlink ref="D1468" r:id="rId614" xr:uid="{AA3B78D4-F87E-47A0-9BD1-3E60AFB75877}"/>
    <hyperlink ref="D1467" r:id="rId615" xr:uid="{FAA96E74-21C1-4B74-BCF0-57F4A3652778}"/>
    <hyperlink ref="D1466" r:id="rId616" xr:uid="{55AB8FFD-30A3-4DA4-BC7B-C6B2EAD25418}"/>
    <hyperlink ref="D1460" r:id="rId617" xr:uid="{0440E659-00A0-45CB-BC57-548E2E9D4123}"/>
    <hyperlink ref="D1464" r:id="rId618" xr:uid="{4988F1D1-0B8D-4A64-809F-59774331904C}"/>
    <hyperlink ref="D1463" r:id="rId619" xr:uid="{3933002D-E56F-4ECB-9126-A67264C826AB}"/>
    <hyperlink ref="D1462" r:id="rId620" xr:uid="{AF987E50-1020-40AE-B589-EA999C993535}"/>
    <hyperlink ref="D1471" r:id="rId621" xr:uid="{90734FEE-E066-448D-A34E-B7755AFEBACA}"/>
    <hyperlink ref="D1465" r:id="rId622" xr:uid="{72BA38B3-281E-4997-A640-918F3306274E}"/>
    <hyperlink ref="D1494" r:id="rId623" xr:uid="{937EDA58-7EF4-4CC3-AD3C-EAB4776BEA54}"/>
    <hyperlink ref="D1492" r:id="rId624" xr:uid="{53A1E677-0BF5-4AD3-A403-B0107A7185AC}"/>
    <hyperlink ref="D1491" r:id="rId625" xr:uid="{517D7745-7AAE-47D6-85DC-9B972AB41BCC}"/>
    <hyperlink ref="D1493" r:id="rId626" xr:uid="{2920CDAF-E6E8-4C58-A556-F800533F5267}"/>
    <hyperlink ref="D1490" r:id="rId627" xr:uid="{47B7C3B0-1A52-4F49-A1A2-2A3249B8A341}"/>
    <hyperlink ref="D1489" r:id="rId628" xr:uid="{A27ABC35-7885-4688-92EE-77DEBDD2532C}"/>
    <hyperlink ref="D1488" r:id="rId629" xr:uid="{7046B2DD-9F15-4109-95B8-7165FCAAC3DB}"/>
    <hyperlink ref="D1487" r:id="rId630" xr:uid="{00953418-66D0-460F-BDB6-89B74A0ECCFB}"/>
    <hyperlink ref="D1486" r:id="rId631" xr:uid="{17F9DAC6-F161-481A-B1DE-1023C380BA6B}"/>
    <hyperlink ref="D1485" r:id="rId632" xr:uid="{53D981E4-86D3-4348-8D31-493F4FB8B3BF}"/>
    <hyperlink ref="D1484" r:id="rId633" xr:uid="{C2DC611C-E8CA-4249-9408-FFF80981C5AF}"/>
    <hyperlink ref="D1481" r:id="rId634" xr:uid="{364906C8-9A46-4A01-B1D2-1E883709E479}"/>
    <hyperlink ref="D1480" r:id="rId635" xr:uid="{F55574DC-10D0-402D-958F-825F611BBB3E}"/>
    <hyperlink ref="D1482" r:id="rId636" xr:uid="{90E9815F-77CA-4D8C-AFE4-3ED2CBD8B414}"/>
    <hyperlink ref="D1479" r:id="rId637" xr:uid="{80BC78B8-5716-4F1F-BD0E-E886C301427D}"/>
    <hyperlink ref="D1495" r:id="rId638" xr:uid="{00EB22E6-4516-4EE3-9A1C-897A9388FF7D}"/>
    <hyperlink ref="D1497" r:id="rId639" xr:uid="{D4273809-DF95-4779-A53E-53FF48FC4FA9}"/>
    <hyperlink ref="D1498" r:id="rId640" xr:uid="{3D681629-2937-437E-B018-7A7E67DF80C2}"/>
    <hyperlink ref="D1496" r:id="rId641" xr:uid="{14E6D48A-9A55-49B8-B99A-F65BE0F74B6F}"/>
    <hyperlink ref="D1503" r:id="rId642" xr:uid="{5FE127F5-91AF-4DB9-B56E-5FA7B73E4272}"/>
    <hyperlink ref="D1509" r:id="rId643" xr:uid="{4C0DCD3F-8BA6-42E6-8C42-B24770AFDCF4}"/>
    <hyperlink ref="D1508" r:id="rId644" xr:uid="{36E4A4EF-16B2-4B60-91D2-5925DD6C9F74}"/>
    <hyperlink ref="D1506" r:id="rId645" xr:uid="{F6962418-713A-4BB5-8716-1AC4D2EA3CC5}"/>
    <hyperlink ref="D1505" r:id="rId646" xr:uid="{985602F5-88BF-41C4-854F-CA412A730F2D}"/>
    <hyperlink ref="D1502" r:id="rId647" xr:uid="{7BB33A7D-F3CE-481A-8AB7-33A199E2E2CA}"/>
    <hyperlink ref="D1504" r:id="rId648" xr:uid="{D3820330-4DCB-4C3D-A0DE-3F35A2997083}"/>
    <hyperlink ref="D1500" r:id="rId649" xr:uid="{B53F9372-DCC2-4E4B-B0DC-5CCA76F91FC1}"/>
    <hyperlink ref="D1507" r:id="rId650" xr:uid="{5D8607D7-5F3A-47AE-8BBC-F89D545DB35C}"/>
    <hyperlink ref="D1511" r:id="rId651" xr:uid="{399464CA-FE1D-4367-9293-9160D052C9EC}"/>
    <hyperlink ref="D1510" r:id="rId652" xr:uid="{ABD99843-1EAA-4EA7-8CC0-510C028A4AF7}"/>
    <hyperlink ref="D1529" r:id="rId653" xr:uid="{9294AADF-50DF-4F14-BF23-876CA9DAFB7A}"/>
    <hyperlink ref="D1517" r:id="rId654" xr:uid="{651B4B25-DE3B-4E2D-9F05-AC2F1524E740}"/>
    <hyperlink ref="D1526" r:id="rId655" xr:uid="{5254C08E-3076-45CF-8D58-D29A61DCC21B}"/>
    <hyperlink ref="D1532" r:id="rId656" xr:uid="{E50A59BE-4792-4954-9199-DF662EB8BE1B}"/>
    <hyperlink ref="D1531" r:id="rId657" xr:uid="{3C7F8C59-1E43-46A2-86C8-47CD9B735BC7}"/>
    <hyperlink ref="D1530" r:id="rId658" xr:uid="{8498CAC0-91F0-429A-8ECB-E8428CF6B486}"/>
    <hyperlink ref="D1528" r:id="rId659" xr:uid="{F7539293-1999-41CB-91C5-7ADEDEC4984A}"/>
    <hyperlink ref="D1525" r:id="rId660" xr:uid="{AD069C49-BA01-40BD-A543-1A42F5C28E34}"/>
    <hyperlink ref="D1524" r:id="rId661" xr:uid="{1131FCE3-1E20-4486-A2D7-FDECD8C9DD4F}"/>
    <hyperlink ref="D1523" r:id="rId662" xr:uid="{79FF187F-CEF7-4CE2-A1BD-7E1219259CC3}"/>
    <hyperlink ref="D1522" r:id="rId663" xr:uid="{1C74C0DC-3505-479F-81D3-C7FC86B14812}"/>
    <hyperlink ref="D1521" r:id="rId664" xr:uid="{B1F510A0-F4FD-4CED-8D0C-4D7BB30E6123}"/>
    <hyperlink ref="D1520" r:id="rId665" xr:uid="{7DC3336F-D49A-4EFE-BCF7-F21FE4BD52E6}"/>
    <hyperlink ref="D1519" r:id="rId666" xr:uid="{6E6C2415-8F7B-4B9D-9DC0-42E48EA35E8F}"/>
    <hyperlink ref="D1516" r:id="rId667" xr:uid="{F4CBCBE0-EA9E-4DA1-9969-BE1ACF998F23}"/>
    <hyperlink ref="D1515" r:id="rId668" xr:uid="{FC7651A2-BFE4-457C-A9A7-DBFE1DF381CD}"/>
    <hyperlink ref="D1561" r:id="rId669" xr:uid="{A1FF1038-288E-4629-9584-A7790B63A4CA}"/>
    <hyperlink ref="D1556" r:id="rId670" xr:uid="{9B44590A-D88C-439A-A41A-31AC5EF844C5}"/>
    <hyperlink ref="D1555" r:id="rId671" xr:uid="{B6EAF62A-2349-4CE4-A4F1-D6CE5D915946}"/>
    <hyperlink ref="D1551" r:id="rId672" xr:uid="{12D5BB63-858C-4D6B-9C5D-EF0C24F9D778}"/>
    <hyperlink ref="D1542" r:id="rId673" xr:uid="{0277AA9B-4997-4A76-94C7-37537CEA67D4}"/>
    <hyperlink ref="D1562" r:id="rId674" xr:uid="{F28DF1F6-429A-40CF-8E33-8BE8E9C96919}"/>
    <hyperlink ref="D1546" r:id="rId675" xr:uid="{9E308CC3-92F6-4280-B58A-5A2A11E61587}"/>
    <hyperlink ref="D1545" r:id="rId676" xr:uid="{D9196FA8-0E73-4D34-BCBC-9970FE287702}"/>
    <hyperlink ref="D1544" r:id="rId677" xr:uid="{DD383477-74C1-4C95-9064-96A36AA5600B}"/>
    <hyperlink ref="D1564" r:id="rId678" xr:uid="{D04687B6-43D8-4D11-A293-886DCD1CE3A4}"/>
    <hyperlink ref="D1563" r:id="rId679" xr:uid="{90F008BF-3E5E-4DB0-8D25-31D62050CEA5}"/>
    <hyperlink ref="D1560" r:id="rId680" xr:uid="{812480C1-CA74-41DB-96DE-3121ACCAC790}"/>
    <hyperlink ref="D1559" r:id="rId681" xr:uid="{C8B769E8-A788-43E1-89FC-174AE4A5CEB3}"/>
    <hyperlink ref="D1558" r:id="rId682" xr:uid="{C4139265-0B79-4963-BCC2-994C04D0B9DB}"/>
    <hyperlink ref="D1557" r:id="rId683" xr:uid="{BF4128EC-AACA-43F8-980E-EA4F75B61482}"/>
    <hyperlink ref="D1554" r:id="rId684" xr:uid="{B99A7721-9A24-4777-91DF-722AC9CE9598}"/>
    <hyperlink ref="D1552" r:id="rId685" xr:uid="{242DC498-6496-4F52-B041-A10BEF0724BA}"/>
    <hyperlink ref="D1550" r:id="rId686" xr:uid="{0AF8F513-0C1B-4EEB-BCC2-8A00846DADB8}"/>
    <hyperlink ref="D1549" r:id="rId687" xr:uid="{2FDFD311-CEA8-449B-94D6-7FA43F5F753B}"/>
    <hyperlink ref="D1548" r:id="rId688" xr:uid="{2122069B-C424-4D37-B1C5-0FBB65AB8C96}"/>
    <hyperlink ref="D1547" r:id="rId689" xr:uid="{4EC42D43-F157-41B2-BCF5-A3D6DCA4037C}"/>
    <hyperlink ref="D1543" r:id="rId690" xr:uid="{A7A809B2-4FE7-4C6E-93BE-78A04299B48E}"/>
    <hyperlink ref="D1541" r:id="rId691" xr:uid="{446575E8-E89F-4E31-8A3C-CACBD49D58D2}"/>
    <hyperlink ref="D1539" r:id="rId692" xr:uid="{9EA40518-CA94-4D9D-89CA-136D2F3075FE}"/>
    <hyperlink ref="D1536" r:id="rId693" xr:uid="{B51AB382-D198-40D5-BD15-7119FD70BBBA}"/>
    <hyperlink ref="D1537" r:id="rId694" xr:uid="{AFFA4A90-8C22-4BFD-B08C-D6F827E9C1D9}"/>
    <hyperlink ref="D1535" r:id="rId695" xr:uid="{79A8EC48-CBA6-4C50-8128-997C6942B065}"/>
    <hyperlink ref="D1534" r:id="rId696" xr:uid="{E7ED1B34-3756-4144-ABD1-622B5CB0D60D}"/>
    <hyperlink ref="D1533" r:id="rId697" xr:uid="{7B22A61F-657F-41FC-ACEC-ACF8F5069A0D}"/>
    <hyperlink ref="D1540" r:id="rId698" xr:uid="{C454AA6D-6C60-4E4A-B836-F466A1D791D7}"/>
    <hyperlink ref="D1553" r:id="rId699" xr:uid="{18A82A5F-BAA5-4611-AF39-5BEB9C5C601F}"/>
    <hyperlink ref="D1126" r:id="rId700" xr:uid="{86765010-B5AE-49CF-BCA2-D4B9096A62F6}"/>
    <hyperlink ref="D1209" r:id="rId701" xr:uid="{A0F1EA58-8E81-43D3-8E18-6D22A6F60B3E}"/>
    <hyperlink ref="D1287" r:id="rId702" xr:uid="{DC72C4C1-2D27-47AF-A6D6-D25C32C799FC}"/>
    <hyperlink ref="D1364" r:id="rId703" xr:uid="{225C4888-8046-4E78-8523-05AEF0EA32DE}"/>
    <hyperlink ref="D1407" r:id="rId704" xr:uid="{FBB86523-446E-46F2-B44B-F4A53F137C46}"/>
    <hyperlink ref="D1461" r:id="rId705" xr:uid="{DCFF5BEA-12AF-4BD4-A0DA-D6AE1B06EE7A}"/>
    <hyperlink ref="D1501" r:id="rId706" xr:uid="{9D6A53B9-4B3D-4BFB-A063-95D1E3B5B017}"/>
    <hyperlink ref="D1135" r:id="rId707" xr:uid="{925B94F9-270E-42F7-8CEC-5F5A319E6828}"/>
    <hyperlink ref="D1195" r:id="rId708" xr:uid="{E5E0B53A-B2C6-4259-93C0-569A27E06D9E}"/>
    <hyperlink ref="D1295" r:id="rId709" xr:uid="{B4628A4A-BEB1-4054-A6EA-D7CC4E3A2FB4}"/>
    <hyperlink ref="D1411" r:id="rId710" xr:uid="{D9646930-1687-4985-8FA6-22797C0C67D7}"/>
    <hyperlink ref="D1420" r:id="rId711" xr:uid="{3C4B1DFB-A49A-4A19-94EC-1D5D7592D42A}"/>
    <hyperlink ref="D1518" r:id="rId712" xr:uid="{CE39F150-7835-485C-8689-A65C9A7DEE3A}"/>
    <hyperlink ref="D1120" r:id="rId713" xr:uid="{3974FFFE-895F-49A5-BF14-66204B3E1B46}"/>
    <hyperlink ref="D1141" r:id="rId714" xr:uid="{1DC2AD9C-C6D6-471B-8318-6D2006B6220E}"/>
    <hyperlink ref="D1276" r:id="rId715" xr:uid="{281CFC1E-3D53-4EA1-A35D-BDE243FDAC8C}"/>
    <hyperlink ref="D1422" r:id="rId716" xr:uid="{3662C78D-D76A-4321-A0F5-9F7F51B8F080}"/>
    <hyperlink ref="D1429" r:id="rId717" xr:uid="{3C1C4B3D-84E6-4D21-902C-B968625B8F5C}"/>
    <hyperlink ref="D1458" r:id="rId718" xr:uid="{6F441D7C-EBF7-4530-A96D-07AA5F25D42F}"/>
    <hyperlink ref="D1483" r:id="rId719" xr:uid="{CBC9F5DA-C4A7-4A95-B0B4-10D1AC967BF2}"/>
    <hyperlink ref="D1499" r:id="rId720" xr:uid="{7E4B807C-57DE-40FC-AD94-D7FE63459646}"/>
    <hyperlink ref="D1512" r:id="rId721" xr:uid="{0FF84DB3-EB2A-46AE-AACD-957B0F5281A0}"/>
    <hyperlink ref="D1538" r:id="rId722" xr:uid="{273E0D65-CAD8-43C3-8DBB-6A0BB2A956CC}"/>
    <hyperlink ref="D1629" r:id="rId723" xr:uid="{BF6DBD7B-DF5D-4D7E-A3D2-C2FEB39BE3DA}"/>
    <hyperlink ref="D1668" r:id="rId724" xr:uid="{F71B03D6-0827-46E4-9C8C-44249F1B479F}"/>
    <hyperlink ref="D1678" r:id="rId725" xr:uid="{695F65D4-22EB-4DEE-90F1-FB143050BB47}"/>
    <hyperlink ref="D1722" r:id="rId726" xr:uid="{6BA23F90-0BF4-4D6D-AEB1-8BBAF39FEA2F}"/>
    <hyperlink ref="D1784" r:id="rId727" xr:uid="{0581C5B1-6458-4828-A3D1-CCDC3D193FF3}"/>
    <hyperlink ref="D1924" r:id="rId728" xr:uid="{7C760EBE-E903-479E-8C07-0C71A827901D}"/>
    <hyperlink ref="D1940" r:id="rId729" xr:uid="{563555FD-79C3-4BBE-AB1D-7F35B851B893}"/>
    <hyperlink ref="D1948" r:id="rId730" xr:uid="{431376FC-3364-4454-AD2B-78F021DB8650}"/>
    <hyperlink ref="D1986" r:id="rId731" xr:uid="{E56A23D6-2669-420C-8096-F97034ED5193}"/>
    <hyperlink ref="D2013" r:id="rId732" xr:uid="{BE214A86-BED1-4F94-8452-885F6239C0BC}"/>
    <hyperlink ref="D2020" r:id="rId733" xr:uid="{96893AD7-D048-44DC-9AFC-5120F81B8CDB}"/>
    <hyperlink ref="D2044" r:id="rId734" xr:uid="{D914533B-437B-4217-B438-6021689F6068}"/>
    <hyperlink ref="D1780" r:id="rId735" xr:uid="{BA7F20CF-DD74-4451-A41A-FEBA214749D4}"/>
    <hyperlink ref="D1987" r:id="rId736" xr:uid="{C184D27E-3F5C-4099-B976-1DD2F903E2E3}"/>
    <hyperlink ref="D2034" r:id="rId737" xr:uid="{53D5CC61-4738-4411-81DE-3C1066E80D21}"/>
    <hyperlink ref="D1616" r:id="rId738" xr:uid="{3ACAAFF4-4802-4A07-AAC3-1486EAF00320}"/>
    <hyperlink ref="D1622" r:id="rId739" xr:uid="{6985E2BC-318C-490A-A7DA-D34C054A91F1}"/>
    <hyperlink ref="D1704" r:id="rId740" xr:uid="{03656B2F-4292-456A-A3E3-2206967C5CB6}"/>
    <hyperlink ref="D1749" r:id="rId741" xr:uid="{1D3B0933-C10A-413E-8805-2442B1A0D90C}"/>
    <hyperlink ref="D1776" r:id="rId742" xr:uid="{E84B7220-5CA2-467D-901D-4D442CE9E8FB}"/>
    <hyperlink ref="D1797" r:id="rId743" xr:uid="{AF0F0BBA-1DD0-44F2-A4B3-AE47EB1293B6}"/>
    <hyperlink ref="D1862" r:id="rId744" xr:uid="{6F139820-9439-4CD8-89F2-2AE5F8BEB85B}"/>
    <hyperlink ref="D1925" r:id="rId745" xr:uid="{614C6F1E-23DF-4B75-AC24-79FC6B24776C}"/>
    <hyperlink ref="D1961" r:id="rId746" xr:uid="{4D31B843-02C1-4CE3-AD8A-6E216B22E592}"/>
    <hyperlink ref="D1964" r:id="rId747" xr:uid="{64E9AF88-A41E-4082-8BFC-5B31D7509B28}"/>
    <hyperlink ref="D2008" r:id="rId748" xr:uid="{1A4A56ED-7CB6-4A66-ADA5-159FBBF15BE5}"/>
    <hyperlink ref="D2012" r:id="rId749" xr:uid="{ACCDBC3B-F1C9-498C-AA1E-8AFFAA6344D4}"/>
    <hyperlink ref="B1860" r:id="rId750" display="fabienne.charbit-henrion@aphp.fr" xr:uid="{7B636A09-B088-48BE-A1D7-FE2267253DFD}"/>
    <hyperlink ref="D1601" r:id="rId751" xr:uid="{14A6CAEA-1F40-410A-AFAF-8D022D964F38}"/>
    <hyperlink ref="D1572" r:id="rId752" xr:uid="{6F55EA45-91D2-4A34-BD72-7E7B5B403B3A}"/>
    <hyperlink ref="D1566" r:id="rId753" xr:uid="{D0757966-19CE-49D9-ADF6-E807D5C1405B}"/>
    <hyperlink ref="D1567" r:id="rId754" xr:uid="{4119AC09-E172-4E91-8F7B-A5E29A2DFEE4}"/>
    <hyperlink ref="D1565" r:id="rId755" xr:uid="{10B3AFDD-5527-41EB-A307-9931AF91BF11}"/>
    <hyperlink ref="D1568" r:id="rId756" xr:uid="{63A522A6-DA13-43E5-8CA5-AEA0F1B482DC}"/>
    <hyperlink ref="D1569" r:id="rId757" xr:uid="{29F7AB89-6A71-4EA0-B673-759753B16038}"/>
    <hyperlink ref="D1570" r:id="rId758" xr:uid="{8C1A9058-0FE1-44BD-ABC0-BAC32826A6A9}"/>
    <hyperlink ref="D1571" r:id="rId759" xr:uid="{9F8CFE62-1D57-49C3-BAA3-FB9857350DB1}"/>
    <hyperlink ref="D1573" r:id="rId760" xr:uid="{D2F1D426-09EF-43F6-8677-F3C5B42CF601}"/>
    <hyperlink ref="D1576" r:id="rId761" xr:uid="{1DF0A313-C811-43F8-BBFA-06D46F60F172}"/>
    <hyperlink ref="D1577" r:id="rId762" xr:uid="{4F51F283-4A20-4F0E-81C0-44F9FF84BEB3}"/>
    <hyperlink ref="D1575" r:id="rId763" xr:uid="{7DDE58B6-B4DD-4AD5-A857-1AA660F66BF7}"/>
    <hyperlink ref="D1574" r:id="rId764" xr:uid="{0B5C40FE-6FFE-4BDB-9229-9B1D0451C549}"/>
    <hyperlink ref="D1578" r:id="rId765" xr:uid="{45B86025-A336-4349-8C74-9754C51F7726}"/>
    <hyperlink ref="D1584" r:id="rId766" xr:uid="{C3E04B73-309E-44B5-8E3D-4D70A1F5358F}"/>
    <hyperlink ref="D1587" r:id="rId767" xr:uid="{BE370A01-066C-4EF6-A34A-86666D8013FC}"/>
    <hyperlink ref="D1583" r:id="rId768" xr:uid="{CBCA95A6-E873-4CD9-B326-617899724865}"/>
    <hyperlink ref="D1581" r:id="rId769" xr:uid="{7B5CC72F-16D0-4A30-B001-D552C4959EEE}"/>
    <hyperlink ref="D1603" r:id="rId770" xr:uid="{D62CA1B5-DD8D-42C4-8B7E-8C944B3EE9B2}"/>
    <hyperlink ref="D1582" r:id="rId771" xr:uid="{08F978A9-C6DF-4194-95C5-6830101D6E38}"/>
    <hyperlink ref="D1590" r:id="rId772" xr:uid="{68CAEC62-7E0D-4243-927D-AFF78ED319C1}"/>
    <hyperlink ref="D1588" r:id="rId773" xr:uid="{A5F50B38-E12F-4D85-980A-70FFD08AA725}"/>
    <hyperlink ref="D1591" r:id="rId774" xr:uid="{8D2D4555-0559-43B9-A24F-75AC7E5C684A}"/>
    <hyperlink ref="D1593" r:id="rId775" xr:uid="{0E1E40A3-4121-4538-B4A5-07871E9322D5}"/>
    <hyperlink ref="D1595" r:id="rId776" xr:uid="{6554D60C-5B56-4129-BCCB-80E707679B1A}"/>
    <hyperlink ref="D1596" r:id="rId777" xr:uid="{19E292BE-40D0-4741-9660-663E20519DF4}"/>
    <hyperlink ref="D1599" r:id="rId778" xr:uid="{5F60BCCF-7238-4526-AAF3-A7E0F4C4ADE3}"/>
    <hyperlink ref="D1594" r:id="rId779" xr:uid="{9C44D210-6586-4285-A521-984F849C5F71}"/>
    <hyperlink ref="D1607" r:id="rId780" xr:uid="{45DDAA25-5690-4B8C-A1B0-4F7CE126E7F2}"/>
    <hyperlink ref="D1600" r:id="rId781" xr:uid="{3E5079C4-AB58-44F3-81AD-45C8ED8F4C3C}"/>
    <hyperlink ref="D1602" r:id="rId782" xr:uid="{046DA712-A98C-4FC2-8B1E-88C4BE0D2A61}"/>
    <hyperlink ref="D1604" r:id="rId783" xr:uid="{8BDC22C9-B227-417E-A8AF-80F9687BE8CF}"/>
    <hyperlink ref="D1611" r:id="rId784" xr:uid="{372A3DF3-1087-404C-9622-CC3666839973}"/>
    <hyperlink ref="D1608" r:id="rId785" xr:uid="{016F2B09-E716-40EA-90B0-F97124A741A4}"/>
    <hyperlink ref="D1610" r:id="rId786" xr:uid="{F7A11C26-66A0-4EAB-B7A4-D9A7D5F9D848}"/>
    <hyperlink ref="D1613" r:id="rId787" xr:uid="{1C4BF5E5-47FF-4F73-9477-BE0F1D1368AA}"/>
    <hyperlink ref="D1615" r:id="rId788" xr:uid="{6F1D9C6E-A9B0-40BE-9545-515D8603FCB5}"/>
    <hyperlink ref="D1606" r:id="rId789" xr:uid="{A042D9A7-B96B-4C67-A56D-676DE3AAC9AF}"/>
    <hyperlink ref="D1614" r:id="rId790" xr:uid="{2B30725D-64DA-45AD-A12B-FE7B73AA1CF6}"/>
    <hyperlink ref="D1609" r:id="rId791" xr:uid="{79432B37-C0BC-4E74-8D16-7BBB77C7F115}"/>
    <hyperlink ref="D1619" r:id="rId792" xr:uid="{548322E6-4C9D-49E4-9B93-7349FA469CF0}"/>
    <hyperlink ref="D1617" r:id="rId793" xr:uid="{4D847B82-0865-4C97-9572-F2587EDEFC4F}"/>
    <hyperlink ref="D1618" r:id="rId794" xr:uid="{34477965-7A53-471E-A2F9-91564A6DA264}"/>
    <hyperlink ref="D1579" r:id="rId795" xr:uid="{9A8DBCE8-3860-4AAF-87A2-8D7454E939CD}"/>
    <hyperlink ref="D1580" r:id="rId796" xr:uid="{3F468EAC-9FEA-4550-B31C-BD600AEE6364}"/>
    <hyperlink ref="D1586" r:id="rId797" xr:uid="{248F64C3-F255-4C45-A3A5-1FC22B582878}"/>
    <hyperlink ref="D1585" r:id="rId798" xr:uid="{6D422043-39AB-42CE-9E72-DBA92FF5E606}"/>
    <hyperlink ref="D1589" r:id="rId799" xr:uid="{65C34E2F-BDB7-4843-9465-F31948B92CB6}"/>
    <hyperlink ref="D1592" r:id="rId800" xr:uid="{40ABAC97-62F4-432C-84FC-4EA3C7731F61}"/>
    <hyperlink ref="D1598" r:id="rId801" xr:uid="{A766EC34-532B-45C3-A2F3-52A82207F4C4}"/>
    <hyperlink ref="D1597" r:id="rId802" xr:uid="{2DA1F95B-96DA-47ED-8528-D0D37F1B313B}"/>
    <hyperlink ref="D1605" r:id="rId803" xr:uid="{93669D62-BECB-4D83-8B59-6F77742166BC}"/>
    <hyperlink ref="D1620" r:id="rId804" xr:uid="{CB41AE91-4DEF-435D-9295-03B99C2D9076}"/>
    <hyperlink ref="D1621" r:id="rId805" xr:uid="{9CA8DC9B-BF6C-4DF3-9611-C9DBCB8403CF}"/>
    <hyperlink ref="D1626" r:id="rId806" xr:uid="{CFCED48F-9013-4803-904C-ED20A8684F3C}"/>
    <hyperlink ref="D1623" r:id="rId807" xr:uid="{FF260390-197D-4889-BAA6-774BFB6675E5}"/>
    <hyperlink ref="D1624" r:id="rId808" xr:uid="{B45614FF-B821-4CAF-870E-1554584F23A0}"/>
    <hyperlink ref="D1625" r:id="rId809" xr:uid="{0FD96DB8-CECC-4015-91D3-1E088D19E0DA}"/>
    <hyperlink ref="D1628" r:id="rId810" xr:uid="{27C5A02C-A358-4361-8FD9-15DFCC169F4E}"/>
    <hyperlink ref="D1627" r:id="rId811" xr:uid="{2DC27E8F-34A4-43AC-BEDE-C8AAFA7554A7}"/>
    <hyperlink ref="D1643" r:id="rId812" xr:uid="{BC3F545B-05DA-44E8-8E8F-5F6934572B3C}"/>
    <hyperlink ref="D1630" r:id="rId813" xr:uid="{B13E811F-6ADD-4606-855C-272927E2875D}"/>
    <hyperlink ref="D1632" r:id="rId814" xr:uid="{7112ACC2-4F67-4562-AFEC-CE7CEB42E74B}"/>
    <hyperlink ref="D1634" r:id="rId815" xr:uid="{5F796FCF-426D-458A-B7BA-019F64FC2725}"/>
    <hyperlink ref="D1633" r:id="rId816" xr:uid="{CE91D92D-B0CB-4352-BCE6-FD9E0AC2BC36}"/>
    <hyperlink ref="D1631" r:id="rId817" xr:uid="{CC67E77F-5164-4C32-941A-94E5EF4F6D98}"/>
    <hyperlink ref="D1636" r:id="rId818" xr:uid="{6AE4A838-D54B-4476-B931-388116878570}"/>
    <hyperlink ref="D1638" r:id="rId819" xr:uid="{719CDCC7-D48A-4616-800F-7FAA7294EF8D}"/>
    <hyperlink ref="D1640" r:id="rId820" xr:uid="{C92E94EC-808D-47F7-AC28-C029B4FD6F86}"/>
    <hyperlink ref="D1639" r:id="rId821" xr:uid="{41702266-9C41-4481-9A56-6511ACB6CF63}"/>
    <hyperlink ref="D1642" r:id="rId822" xr:uid="{CC353CFE-7847-481B-86E3-1455A784B71D}"/>
    <hyperlink ref="D1641" r:id="rId823" xr:uid="{C98E5D7E-4A2B-4A87-B86A-44E4A8DAF457}"/>
    <hyperlink ref="D1645" r:id="rId824" xr:uid="{9C37B78A-3BA3-4A9D-81BA-43A0468A90C9}"/>
    <hyperlink ref="D1644" r:id="rId825" xr:uid="{5FBC7C43-B72B-45FA-B4D1-DEADE564D325}"/>
    <hyperlink ref="D1637" r:id="rId826" xr:uid="{1EE981F8-22D9-43B7-ADF5-A5EA0667F82E}"/>
    <hyperlink ref="D1648" r:id="rId827" xr:uid="{023A0C5D-AF6B-4467-A81D-BC7D7871D47A}"/>
    <hyperlink ref="D1647" r:id="rId828" xr:uid="{24ED11A3-1764-4849-BABF-D4474C471E47}"/>
    <hyperlink ref="D1646" r:id="rId829" xr:uid="{37D300C7-099A-4930-9821-F0118609E74C}"/>
    <hyperlink ref="D1649" r:id="rId830" xr:uid="{D2975F1F-4018-4CFB-B920-6F3E54363A75}"/>
    <hyperlink ref="D1650" r:id="rId831" xr:uid="{AEF26DB1-CDE7-4E83-9762-AD640461F0AA}"/>
    <hyperlink ref="D1652" r:id="rId832" xr:uid="{9A3D4093-0C54-435F-B4A9-0FAC2B06FD26}"/>
    <hyperlink ref="D1651" r:id="rId833" xr:uid="{B572F258-DB85-4C62-8BCC-E0A7F3652033}"/>
    <hyperlink ref="D1653" r:id="rId834" xr:uid="{EAF73517-5A5F-4245-9D4C-7F7CA09C59B3}"/>
    <hyperlink ref="D1655" r:id="rId835" xr:uid="{84AADEF9-D917-42AE-ACA5-08D3C0E5CD31}"/>
    <hyperlink ref="D1654" r:id="rId836" xr:uid="{EC15BA1B-B96F-423A-86DA-503145FC49AF}"/>
    <hyperlink ref="D1656" r:id="rId837" xr:uid="{8D1D888D-5D9B-4E51-BB09-7B77BB36C2BF}"/>
    <hyperlink ref="D1657" r:id="rId838" xr:uid="{0CFF9D38-7647-4F35-8951-7F35AA86683F}"/>
    <hyperlink ref="D1658" r:id="rId839" xr:uid="{D79ABA0A-6133-46A7-98E9-0FB24CF331BC}"/>
    <hyperlink ref="D1660" r:id="rId840" xr:uid="{77221A57-92C6-4B1A-9331-A1471CD6388E}"/>
    <hyperlink ref="D1659" r:id="rId841" xr:uid="{7D3465FA-62CA-42D5-B09B-35B3C76F1A59}"/>
    <hyperlink ref="D1664" r:id="rId842" xr:uid="{5164A9D4-FB2B-4CF1-AA27-0E2C9FE73753}"/>
    <hyperlink ref="D1665" r:id="rId843" xr:uid="{4E8D8BA1-FA07-4973-B622-42A7E27CAD9D}"/>
    <hyperlink ref="D1662" r:id="rId844" xr:uid="{10522520-FB32-4A53-B04C-D8F524321421}"/>
    <hyperlink ref="D1661" r:id="rId845" xr:uid="{ED84C68D-30DC-4792-8A7F-545A28B820FD}"/>
    <hyperlink ref="D1663" r:id="rId846" xr:uid="{F637BFFF-4C27-4B08-A05E-E896814488EC}"/>
    <hyperlink ref="D1667" r:id="rId847" xr:uid="{6E0B686D-B78D-450D-9A06-6A8AC90793C2}"/>
    <hyperlink ref="D1666" r:id="rId848" xr:uid="{BD71FA5F-D66E-4D1B-920F-EC928C5C300D}"/>
    <hyperlink ref="D1669" r:id="rId849" xr:uid="{B0C72AE9-2B5A-4DF2-B50E-D61CDFF961B7}"/>
    <hyperlink ref="D1635" r:id="rId850" xr:uid="{A9E7E0E8-9EFC-4A61-9B65-DA6AF7950B25}"/>
    <hyperlink ref="D1671" r:id="rId851" xr:uid="{C30066CA-31E9-46FF-BC67-9A750C617891}"/>
    <hyperlink ref="D1670" r:id="rId852" xr:uid="{D60CCA10-8FD2-4602-B053-2214C95EC172}"/>
    <hyperlink ref="D1672" r:id="rId853" xr:uid="{60A2C142-7EB0-443B-BAF4-00553B2779A2}"/>
    <hyperlink ref="D1674" r:id="rId854" xr:uid="{547DF11F-6FE2-4E5D-8871-FBA23533DA33}"/>
    <hyperlink ref="D1675" r:id="rId855" xr:uid="{E9FB4ECF-362B-43F7-B406-B717E0BC5BC3}"/>
    <hyperlink ref="D1673" r:id="rId856" xr:uid="{1D50DCAF-47CA-4232-BB47-1DE2C3F461F0}"/>
    <hyperlink ref="D1676" r:id="rId857" xr:uid="{29982495-9150-4A6D-AF19-9462719772C7}"/>
    <hyperlink ref="D1679" r:id="rId858" xr:uid="{EB50280A-E0A8-4C9D-9110-558A7DEF72EE}"/>
    <hyperlink ref="D1677" r:id="rId859" xr:uid="{206613E5-843B-480A-AB53-77CA918CD316}"/>
    <hyperlink ref="D1683" r:id="rId860" xr:uid="{0E21187B-4712-41D5-A97A-381FB3ECE086}"/>
    <hyperlink ref="D1684" r:id="rId861" xr:uid="{0A33382B-3E7A-4DC7-9537-07BB11B60EEB}"/>
    <hyperlink ref="D1700" r:id="rId862" xr:uid="{9D194289-5E52-4446-9E41-FFF2B823F297}"/>
    <hyperlink ref="D1706" r:id="rId863" xr:uid="{F55642FE-D774-462D-9A8D-DE4A1A327D03}"/>
    <hyperlink ref="D1682" r:id="rId864" xr:uid="{3B2637D0-2ECC-40E4-9DB5-FFDB48D609DA}"/>
    <hyperlink ref="D1681" r:id="rId865" xr:uid="{ACB7B967-D0B6-4EB6-9E57-BB9E487D1A21}"/>
    <hyperlink ref="D1680" r:id="rId866" xr:uid="{F3E86E23-B6B2-4828-952D-98B122DE796D}"/>
    <hyperlink ref="D1685" r:id="rId867" xr:uid="{29DFC569-2447-4347-B0B2-391D2BFD530B}"/>
    <hyperlink ref="D1689" r:id="rId868" xr:uid="{6261AEEA-880F-4012-B7D3-CA97415C6ABA}"/>
    <hyperlink ref="D1688" r:id="rId869" xr:uid="{76BAE797-F534-418B-98EC-CFBFBE3763E4}"/>
    <hyperlink ref="D1686" r:id="rId870" xr:uid="{16A49BE1-9C73-4A72-B602-B0DE385DE5E7}"/>
    <hyperlink ref="D1687" r:id="rId871" xr:uid="{8CF0889C-A27F-4437-89DC-B2FE9AD51EBE}"/>
    <hyperlink ref="D1693" r:id="rId872" xr:uid="{E9D15E3E-719B-4F64-B0D8-189F24FDB4E6}"/>
    <hyperlink ref="D1692" r:id="rId873" xr:uid="{F328DA2E-BF73-4AE8-9AFE-3736403C3039}"/>
    <hyperlink ref="D1691" r:id="rId874" xr:uid="{0FF94910-2FE7-4965-86DD-6DE92A38F58C}"/>
    <hyperlink ref="D1690" r:id="rId875" xr:uid="{19A39AC2-7E6F-4545-9387-8FD105D73A19}"/>
    <hyperlink ref="D1702" r:id="rId876" xr:uid="{37196413-172C-4A97-A6AF-47D82F44BB29}"/>
    <hyperlink ref="D1698" r:id="rId877" xr:uid="{558C2E30-2395-4CEB-BEF9-4ED32676AB93}"/>
    <hyperlink ref="D1697" r:id="rId878" xr:uid="{5E6A545A-FD00-4CEA-B755-8BDD3A774E31}"/>
    <hyperlink ref="D1696" r:id="rId879" xr:uid="{9A69C649-6985-4C65-9B3E-1684A65F3A80}"/>
    <hyperlink ref="D1695" r:id="rId880" xr:uid="{C58706A6-BA8E-43DF-8005-6082F7FB756E}"/>
    <hyperlink ref="D1701" r:id="rId881" xr:uid="{D9955B39-F534-409D-BE77-EF8ECBF3B194}"/>
    <hyperlink ref="D1699" r:id="rId882" xr:uid="{4EB7A9AF-3980-40E9-A7CD-48656D65FEE4}"/>
    <hyperlink ref="D1703" r:id="rId883" xr:uid="{FD916E2D-B0A5-402F-B065-FCBD2C6091E4}"/>
    <hyperlink ref="D1705" r:id="rId884" xr:uid="{677AF4E9-B98A-43EF-8BA9-DC79F09029E1}"/>
    <hyperlink ref="D1715" r:id="rId885" xr:uid="{8CEF1C00-99BB-4D5E-9ABF-1D7EAAEEDBC3}"/>
    <hyperlink ref="D1713" r:id="rId886" xr:uid="{42956C51-A94B-4D6A-941C-8604FFC1599A}"/>
    <hyperlink ref="D1724" r:id="rId887" xr:uid="{05E2F48A-C4CA-49D6-BE6B-7D85EDEE3F07}"/>
    <hyperlink ref="D1717" r:id="rId888" xr:uid="{C226A444-15B4-455A-86A5-74F0D8437E33}"/>
    <hyperlink ref="D1708" r:id="rId889" xr:uid="{FD514CC0-D92C-4D12-9D7B-6D9398ED49AD}"/>
    <hyperlink ref="D1707" r:id="rId890" xr:uid="{0085D9F6-535A-4825-82BA-EF88E8FC0EA8}"/>
    <hyperlink ref="D1709" r:id="rId891" xr:uid="{6E6C47EA-389D-4B3B-A405-67819D20A084}"/>
    <hyperlink ref="D1710" r:id="rId892" xr:uid="{302829CF-6288-4AF7-BA71-6E7FF3BB76CA}"/>
    <hyperlink ref="D1712" r:id="rId893" xr:uid="{69FB3E59-5819-4FD9-8981-8831A96371AB}"/>
    <hyperlink ref="D1714" r:id="rId894" xr:uid="{55F15515-51D9-478C-AF46-393611CF8F5F}"/>
    <hyperlink ref="D1711" r:id="rId895" xr:uid="{CA4A9E92-8949-4CA6-A7E5-5221CAE800CC}"/>
    <hyperlink ref="D1716" r:id="rId896" xr:uid="{6802093D-3E67-421C-9950-EE2FB12FAC63}"/>
    <hyperlink ref="D1719" r:id="rId897" xr:uid="{21907E7F-C420-4B7C-93B3-FBA1793A26C2}"/>
    <hyperlink ref="D1720" r:id="rId898" xr:uid="{5F883FBB-1D7D-4A88-AFA2-CFBFF8A234D2}"/>
    <hyperlink ref="D1718" r:id="rId899" xr:uid="{154AC5EE-278B-4A4A-AD29-541CA39BEA4A}"/>
    <hyperlink ref="D1723" r:id="rId900" xr:uid="{C5CB0580-298A-45DC-B625-FC231D9977D9}"/>
    <hyperlink ref="D1721" r:id="rId901" xr:uid="{DE8A72E9-A452-4C56-AF12-54E1AF8C21CE}"/>
    <hyperlink ref="D1730" r:id="rId902" xr:uid="{8B6E62C2-A4EB-4D99-8616-FB72EC70F1B2}"/>
    <hyperlink ref="D1727" r:id="rId903" xr:uid="{890C7711-A339-466D-B9B2-AB74B94A32A7}"/>
    <hyperlink ref="D1748" r:id="rId904" xr:uid="{D259999F-FC8C-4B82-977B-27E8F9FB408D}"/>
    <hyperlink ref="D1746" r:id="rId905" xr:uid="{039FAF9C-1C2E-4FC8-8051-48F7A9C8D96A}"/>
    <hyperlink ref="D1726" r:id="rId906" xr:uid="{1B14288B-53FD-4811-87D9-877AB9DE21C6}"/>
    <hyperlink ref="D1725" r:id="rId907" xr:uid="{2F6C4452-766E-4530-BB96-EC9CF6248C52}"/>
    <hyperlink ref="D1728" r:id="rId908" xr:uid="{4F04BDC8-16B8-44B3-9461-813F3B3B1C84}"/>
    <hyperlink ref="D1729" r:id="rId909" xr:uid="{4D6D977D-2385-4717-80BB-0E2A95086428}"/>
    <hyperlink ref="D1747" r:id="rId910" xr:uid="{F30665C4-8276-47A6-B873-FE85D29B761C}"/>
    <hyperlink ref="D1740" r:id="rId911" xr:uid="{92B89C73-9D65-43AA-9EAF-CE0005EE0B57}"/>
    <hyperlink ref="D1742" r:id="rId912" xr:uid="{1E2C12D0-D328-4F94-865F-A5DC9F702E14}"/>
    <hyperlink ref="D1744" r:id="rId913" xr:uid="{7BFDE50B-D5CA-40D1-81B1-C6C25826C31F}"/>
    <hyperlink ref="D1743" r:id="rId914" xr:uid="{7233B12C-5434-44B8-A79B-2A56826D65F3}"/>
    <hyperlink ref="D1741" r:id="rId915" xr:uid="{9C114504-A1BA-47D5-B020-432D785EC481}"/>
    <hyperlink ref="D1745" r:id="rId916" xr:uid="{B1BA2A3A-A2E9-4C88-958E-536AA71CFCFB}"/>
    <hyperlink ref="D1731" r:id="rId917" xr:uid="{C8CD676A-4D56-44AE-98A7-5ACDDB1B6FAE}"/>
    <hyperlink ref="D1732" r:id="rId918" xr:uid="{2AE18CA2-306C-4EDB-8C4A-F63E68C26E3A}"/>
    <hyperlink ref="D1733" r:id="rId919" xr:uid="{ED4D422E-51FD-4350-AE0D-CF4731AFE916}"/>
    <hyperlink ref="D1734" r:id="rId920" xr:uid="{C2F5BCA6-CB3B-41A4-9404-E796EC18F242}"/>
    <hyperlink ref="D1735" r:id="rId921" xr:uid="{92C99E55-184A-463C-9F6C-093855A3FB40}"/>
    <hyperlink ref="D1736" r:id="rId922" xr:uid="{AD8B4971-9471-42D3-92ED-D1C69CB11F84}"/>
    <hyperlink ref="D1737" r:id="rId923" xr:uid="{465A4F84-638C-402A-ABF6-0AA1168BC5B2}"/>
    <hyperlink ref="D1738" r:id="rId924" xr:uid="{AA3C04A6-3FEB-4DE7-A0DA-90FB35297AFF}"/>
    <hyperlink ref="D1739" r:id="rId925" xr:uid="{F82601A7-38C3-49E2-9B9A-93133AE6EC07}"/>
    <hyperlink ref="D1773" r:id="rId926" xr:uid="{9A129AE4-3C28-412F-9A5B-72F07C08F40F}"/>
    <hyperlink ref="D1774" r:id="rId927" xr:uid="{BBF09F65-E9AA-4456-A8FC-6192948F0C0E}"/>
    <hyperlink ref="D1752" r:id="rId928" xr:uid="{2BE5D996-225D-4DA2-831A-D56B867563AF}"/>
    <hyperlink ref="D1751" r:id="rId929" display="mailto:bioentrepreneurs@institutimagine.org" xr:uid="{37720D8E-C173-4D88-8DD3-481EEB2468F9}"/>
    <hyperlink ref="D1757" r:id="rId930" display="mailto:chverny@chu-angers.fr" xr:uid="{2F36F626-A8C6-440A-9871-BA801B87F149}"/>
    <hyperlink ref="D1754" r:id="rId931" display="mailto:alexandre.pierga@institutimagine.org" xr:uid="{A4E23137-E9BA-4ADE-BE60-1ABEAC28BB10}"/>
    <hyperlink ref="D1750" r:id="rId932" xr:uid="{87D03567-2F5E-4613-9FAC-72C3EC981A3A}"/>
    <hyperlink ref="D1756" r:id="rId933" xr:uid="{96085C6E-56A4-4BAC-B1E2-823972888F12}"/>
    <hyperlink ref="D1755" r:id="rId934" xr:uid="{4D7E057D-90C9-4ECF-AC4F-6EBA8D05D1E2}"/>
    <hyperlink ref="D1758" r:id="rId935" xr:uid="{47DABB31-5A3B-469F-B167-FD74C210E9FF}"/>
    <hyperlink ref="D1753" r:id="rId936" xr:uid="{27B9A64F-CB81-4B5C-80F8-B82D143655FE}"/>
    <hyperlink ref="D1761" r:id="rId937" xr:uid="{030BFB1C-2E68-4A3C-BF57-493F6D6A694E}"/>
    <hyperlink ref="D1759" r:id="rId938" xr:uid="{67FB6E49-04E9-487D-95A2-B1495E4919A3}"/>
    <hyperlink ref="D1762" r:id="rId939" xr:uid="{F552558A-F93A-477C-9794-74424ECFFD2B}"/>
    <hyperlink ref="D1760" r:id="rId940" xr:uid="{E899C700-A41E-4D8B-8C76-CDEE26791689}"/>
    <hyperlink ref="D1763" r:id="rId941" xr:uid="{1ABBDB25-BEFB-4435-9F9F-61AA4DA6955E}"/>
    <hyperlink ref="D1764" r:id="rId942" xr:uid="{3363AC4C-93A6-4BD9-B45C-7F63EFCD0EB6}"/>
    <hyperlink ref="D1768" r:id="rId943" xr:uid="{84CF4ECE-6BFB-493F-94AC-43D480D36A12}"/>
    <hyperlink ref="D1766" r:id="rId944" xr:uid="{655D4121-C17C-4C2D-B69D-9CC426400A5F}"/>
    <hyperlink ref="D1771" r:id="rId945" xr:uid="{362D3FA3-2A43-46F5-A2D4-32BC30E04E00}"/>
    <hyperlink ref="D1769" r:id="rId946" xr:uid="{4A267DC9-A9F2-45E3-B019-93A0C963C27E}"/>
    <hyperlink ref="D1772" r:id="rId947" xr:uid="{196461FE-2B4A-46B7-8785-6AEA1621FAED}"/>
    <hyperlink ref="D1770" r:id="rId948" xr:uid="{77DE502F-7A09-42F0-845C-DF3C7606596B}"/>
    <hyperlink ref="D1775" r:id="rId949" xr:uid="{3BC51909-72EB-4614-AA4B-2D41EF86E75D}"/>
    <hyperlink ref="D1765" r:id="rId950" xr:uid="{1A8F072C-CBB7-4AF1-AA7C-9FAC8E740F5B}"/>
    <hyperlink ref="D1767" r:id="rId951" xr:uid="{E76BFAF1-9B6E-4D92-B36A-47F5A92E1FA3}"/>
    <hyperlink ref="D1777" r:id="rId952" xr:uid="{69F2C20B-0629-400A-9359-80694B3EC86F}"/>
    <hyperlink ref="D1779" r:id="rId953" xr:uid="{3E9CBAF0-6802-49F6-B8D9-5AC068AE344F}"/>
    <hyperlink ref="D1778" r:id="rId954" xr:uid="{8C3D8D36-71B0-432E-9FDF-593A1289DA9B}"/>
    <hyperlink ref="D1781" r:id="rId955" xr:uid="{6825C210-12D4-47E2-8104-0E7AE36482BA}"/>
    <hyperlink ref="D1783" r:id="rId956" xr:uid="{56B51FFD-FD0E-429D-82F4-D6FE430E8113}"/>
    <hyperlink ref="D1782" r:id="rId957" xr:uid="{3DF8652B-3769-497F-94F5-3A95C20DDFAB}"/>
    <hyperlink ref="D1786" r:id="rId958" xr:uid="{E451CC6A-9C60-401E-A2E9-9072484B189E}"/>
    <hyperlink ref="D1785" r:id="rId959" xr:uid="{21F31E19-BF87-4CB7-B806-89B26AD07986}"/>
    <hyperlink ref="D1796" r:id="rId960" xr:uid="{F0D809B8-2707-476F-9864-32F69524FD37}"/>
    <hyperlink ref="D1787" r:id="rId961" xr:uid="{398BF3FF-785F-4205-A67F-992AB363466A}"/>
    <hyperlink ref="D1788" r:id="rId962" xr:uid="{4A168E6A-ECCC-4370-957F-032FF040B493}"/>
    <hyperlink ref="D1789" r:id="rId963" xr:uid="{56C61F42-B832-4DA9-B250-90DA61D6ADBC}"/>
    <hyperlink ref="D1792" r:id="rId964" xr:uid="{081D7913-2BAD-484D-8E78-B44D59427FDB}"/>
    <hyperlink ref="D1790" r:id="rId965" xr:uid="{F652C068-0B42-44C1-9BD6-337C089F445F}"/>
    <hyperlink ref="D1793" r:id="rId966" xr:uid="{F6C471DA-1936-4FEC-8B6F-A2FB46A3E9A5}"/>
    <hyperlink ref="D1794" r:id="rId967" xr:uid="{9054A74E-271A-4D2B-81A2-C915FBC3CC7C}"/>
    <hyperlink ref="D1795" r:id="rId968" xr:uid="{31C77355-5F20-4867-8C24-72191DD8DBF4}"/>
    <hyperlink ref="D1791" r:id="rId969" xr:uid="{A579C9F8-73EC-4939-9614-D4406A95423C}"/>
    <hyperlink ref="D1804" r:id="rId970" xr:uid="{0B210E65-ACEF-4BB9-B4BA-0C0C927681F1}"/>
    <hyperlink ref="D1858" r:id="rId971" xr:uid="{A68335D5-8696-44DF-84D4-15D7A19AF705}"/>
    <hyperlink ref="D1841" r:id="rId972" xr:uid="{931F5E5E-A0C4-4D09-95F8-3DF8B36FE74A}"/>
    <hyperlink ref="D1798" r:id="rId973" xr:uid="{1FFBB97E-E5AE-4082-8264-493040565F82}"/>
    <hyperlink ref="D1802" r:id="rId974" xr:uid="{54FCFE73-2B53-437E-837F-C97BD2D3982A}"/>
    <hyperlink ref="D1803" r:id="rId975" xr:uid="{9A61FCA9-0FA1-4CAB-BCDB-15985C3A0094}"/>
    <hyperlink ref="D1801" r:id="rId976" xr:uid="{8F71BEA6-A2C5-4E77-8CDD-B42496C775C3}"/>
    <hyperlink ref="D1809" r:id="rId977" xr:uid="{169590DD-061C-40B8-93D5-6831B33579CF}"/>
    <hyperlink ref="D1799" r:id="rId978" xr:uid="{57D0C862-154F-4DF4-A6BB-83FA474CD567}"/>
    <hyperlink ref="D1800" r:id="rId979" xr:uid="{0F62BC63-B980-4D30-B565-4F700CBC9B35}"/>
    <hyperlink ref="D1807" r:id="rId980" xr:uid="{68A4E4D6-F11B-4A53-85A4-7FDA00E321C5}"/>
    <hyperlink ref="D1806" r:id="rId981" xr:uid="{95D4FFE3-3D27-453D-A1DC-E89B3AC44B26}"/>
    <hyperlink ref="D1805" r:id="rId982" xr:uid="{C1161961-B48F-448F-87C7-E4FE1D7B45E7}"/>
    <hyperlink ref="D1810" r:id="rId983" xr:uid="{889DC9B6-97E0-4E4D-B033-43AC9E43F84B}"/>
    <hyperlink ref="D1808" r:id="rId984" xr:uid="{1FA686ED-62C1-49B7-B0B5-305DAF4652BF}"/>
    <hyperlink ref="D1813" r:id="rId985" xr:uid="{AA067AD7-01D5-4DF4-9B6D-4F484D46ECCA}"/>
    <hyperlink ref="D1817" r:id="rId986" xr:uid="{EC05DC07-6BBB-4058-825A-08247E6DB71E}"/>
    <hyperlink ref="D1834" r:id="rId987" xr:uid="{094A605B-E7A6-405C-8D24-2880A3C162DE}"/>
    <hyperlink ref="D1814" r:id="rId988" xr:uid="{291BF004-E0B4-4EF0-89D9-EE24B9D974BF}"/>
    <hyperlink ref="D1815" r:id="rId989" xr:uid="{BBEC0C76-AA95-4EB7-B007-7F47D1D7575E}"/>
    <hyperlink ref="D1816" r:id="rId990" xr:uid="{725BB7BF-4E4F-4A95-8DF0-4411B0C29FDF}"/>
    <hyperlink ref="D1811" r:id="rId991" xr:uid="{5D5E222D-22DF-40CF-B6A8-7DE3E02AA23D}"/>
    <hyperlink ref="D1812" r:id="rId992" xr:uid="{41D323E3-E8ED-45F4-999D-26D9D0FC8D71}"/>
    <hyperlink ref="D1818" r:id="rId993" xr:uid="{5350CA69-E860-420A-92AB-0F4EC7A7D247}"/>
    <hyperlink ref="D1821" r:id="rId994" xr:uid="{951FC9D8-21A1-4B0E-BC2A-3D4090571F47}"/>
    <hyperlink ref="D1822" r:id="rId995" xr:uid="{6BF53464-9F76-4997-B0E7-83F3BF67D242}"/>
    <hyperlink ref="D1820" r:id="rId996" xr:uid="{5A946114-A7E1-4E4A-913F-F46A5C5CDD3B}"/>
    <hyperlink ref="D1819" r:id="rId997" xr:uid="{4B2B4166-8514-4487-B51A-BAB9F7D53A65}"/>
    <hyperlink ref="D1824" r:id="rId998" xr:uid="{BA550263-DECD-4AF6-ACBE-E5461D72ADB1}"/>
    <hyperlink ref="D1823" r:id="rId999" xr:uid="{E7E45477-1014-40B7-B377-2FA3ED423ED1}"/>
    <hyperlink ref="D1829" r:id="rId1000" xr:uid="{4BB546CD-0842-46F3-AEA3-EEAAA84044D4}"/>
    <hyperlink ref="D1825" r:id="rId1001" xr:uid="{A8AE2367-DC30-4426-A877-DBD0A0D2AA67}"/>
    <hyperlink ref="D1827" r:id="rId1002" xr:uid="{66B96A80-AE44-46D4-8593-3E0443690560}"/>
    <hyperlink ref="D1828" r:id="rId1003" xr:uid="{C4875F68-C7BF-4495-B733-E69907105A5A}"/>
    <hyperlink ref="D1826" r:id="rId1004" xr:uid="{ABCF4CE9-20FC-475C-BECE-5BFBE2D334B1}"/>
    <hyperlink ref="D1830" r:id="rId1005" xr:uid="{321AA006-5D6F-441D-85BB-4180AFE14BCD}"/>
    <hyperlink ref="D1832" r:id="rId1006" xr:uid="{19CB1BD0-FBDA-4654-9B49-47EFE0363C93}"/>
    <hyperlink ref="D1831" r:id="rId1007" xr:uid="{3C448093-23FA-4271-B0B1-F83A02068CB6}"/>
    <hyperlink ref="D1833" r:id="rId1008" xr:uid="{0F6D984E-A65E-4EF5-814D-F088F9476599}"/>
    <hyperlink ref="D1835" r:id="rId1009" xr:uid="{0A7612FA-A997-4A24-90E6-CD0948EABC91}"/>
    <hyperlink ref="D1836" r:id="rId1010" xr:uid="{D5E627A9-CF98-47CF-9DC3-59550D302098}"/>
    <hyperlink ref="D1838" r:id="rId1011" xr:uid="{D45D5C64-5AB6-4C27-96AE-771E9491AB6F}"/>
    <hyperlink ref="D1839" r:id="rId1012" xr:uid="{013AB1BC-22C5-49E3-AAC4-B2FCB5F8FD69}"/>
    <hyperlink ref="D1840" r:id="rId1013" xr:uid="{7FFA31D8-D8D9-4C40-918D-437CA2535FCA}"/>
    <hyperlink ref="D1837" r:id="rId1014" xr:uid="{ECD9432A-BB46-4466-B6EC-9B5928DEECEC}"/>
    <hyperlink ref="D1843" r:id="rId1015" xr:uid="{AC3AEA9C-3048-46E7-8D9E-362F7CB1FD65}"/>
    <hyperlink ref="D1842" r:id="rId1016" xr:uid="{CA7FE7C2-9462-4F96-BB2D-C26BF484245A}"/>
    <hyperlink ref="D1844" r:id="rId1017" xr:uid="{0F1C0EC8-4243-462F-A220-9E3BD1E398FB}"/>
    <hyperlink ref="D1846" r:id="rId1018" xr:uid="{BC927AAF-E924-4304-93E9-BE515889492A}"/>
    <hyperlink ref="D1848" r:id="rId1019" xr:uid="{D050C541-4209-4FCC-85FB-BD660DCD3D91}"/>
    <hyperlink ref="D1845" r:id="rId1020" xr:uid="{90BE278A-4A29-4004-9698-04FBC87FBA5E}"/>
    <hyperlink ref="D1847" r:id="rId1021" xr:uid="{63699996-8EAC-458F-9C86-3FD31FD700D7}"/>
    <hyperlink ref="D1856" r:id="rId1022" xr:uid="{BF8FDE9D-84C1-46FF-A2BF-F8A15F58B3E4}"/>
    <hyperlink ref="D1849" r:id="rId1023" xr:uid="{58C02C46-67C4-461D-9C7B-0C236E7445BF}"/>
    <hyperlink ref="D1855" r:id="rId1024" xr:uid="{DD584CE6-802C-468A-AACC-04666E9BBFAA}"/>
    <hyperlink ref="D1850" r:id="rId1025" xr:uid="{EF84DA18-C14A-407C-BD8A-826FFA7D5F37}"/>
    <hyperlink ref="D1853" r:id="rId1026" xr:uid="{D2D4CF16-D2ED-47DB-92A6-6BFA2F989212}"/>
    <hyperlink ref="D1854" r:id="rId1027" xr:uid="{E69EE942-CD53-4C44-98F3-B5E5D46A3740}"/>
    <hyperlink ref="D1852" r:id="rId1028" xr:uid="{AA4BEA5A-5514-4C82-AD93-0C47EBC642C4}"/>
    <hyperlink ref="D1851" r:id="rId1029" xr:uid="{3E5DC940-B5D5-49F3-8C0C-34772626B1E0}"/>
    <hyperlink ref="D1857" r:id="rId1030" xr:uid="{98751BA0-A47D-40E6-8070-3AA44BDE60FC}"/>
    <hyperlink ref="D1859" r:id="rId1031" xr:uid="{F49F0842-8FB8-441B-A01C-68DF41874F3C}"/>
    <hyperlink ref="D1861" r:id="rId1032" xr:uid="{E23D089B-D04F-4B33-86EB-9B8D0159AC79}"/>
    <hyperlink ref="D1860" r:id="rId1033" xr:uid="{BBDF9A44-B3CE-41BB-9685-67763162B89C}"/>
    <hyperlink ref="D1909" r:id="rId1034" xr:uid="{6D92FD03-AF68-4305-825D-2187B8D41399}"/>
    <hyperlink ref="D1897" r:id="rId1035" xr:uid="{4000D5DC-47B4-484D-B309-D91C7BA2B15B}"/>
    <hyperlink ref="D1887" r:id="rId1036" xr:uid="{3E58BB82-F0FA-490A-84AA-444AC26DC625}"/>
    <hyperlink ref="D1863" r:id="rId1037" xr:uid="{610587B0-98F3-487B-A347-37C7753A65BD}"/>
    <hyperlink ref="D1865" r:id="rId1038" xr:uid="{5FBD9D31-8729-4EFC-82C2-9548B8C38596}"/>
    <hyperlink ref="D1864" r:id="rId1039" xr:uid="{AA168F04-4246-4B63-A453-F39A6A9C07F3}"/>
    <hyperlink ref="D1866" r:id="rId1040" xr:uid="{23F1689E-C45D-4C07-A0D2-B595E57A0DFA}"/>
    <hyperlink ref="D1867" r:id="rId1041" xr:uid="{0C10C05A-3DAB-4D99-A803-127B3EC493AF}"/>
    <hyperlink ref="D1868" r:id="rId1042" xr:uid="{0ACEA186-D842-4D36-8A61-2E13B2157FE0}"/>
    <hyperlink ref="D1882" r:id="rId1043" xr:uid="{C9161872-555D-44CF-BFC2-D6441805819B}"/>
    <hyperlink ref="D1881" r:id="rId1044" xr:uid="{96EFF989-335C-4E73-81A5-45C7AAD725C0}"/>
    <hyperlink ref="D1886" r:id="rId1045" xr:uid="{085830E1-783D-44AB-84B7-1158167C0E53}"/>
    <hyperlink ref="D1869" r:id="rId1046" xr:uid="{079A1DAA-D931-4869-92EA-D89CBB9A910C}"/>
    <hyperlink ref="D1872" r:id="rId1047" xr:uid="{2916F9A2-D794-48D8-9A36-AD8AA6DDD3E7}"/>
    <hyperlink ref="D1870" r:id="rId1048" xr:uid="{B4B2DCA9-DA9A-4BAF-8035-ECC378BB24F3}"/>
    <hyperlink ref="D1894" r:id="rId1049" xr:uid="{9CA0B15B-5BFD-4BD1-8C4D-227DD9820C2B}"/>
    <hyperlink ref="D1871" r:id="rId1050" xr:uid="{D83F1BD4-0145-4F8F-83D2-3CC5252085BF}"/>
    <hyperlink ref="D1873" r:id="rId1051" xr:uid="{52BF5596-4372-4475-B40A-06941C7E5748}"/>
    <hyperlink ref="D1874" r:id="rId1052" xr:uid="{C1CA0694-5A40-457C-B7A7-6CB2EC8E8B73}"/>
    <hyperlink ref="D1875" r:id="rId1053" xr:uid="{6DD57FD2-C404-4E1D-8AE1-EED229680252}"/>
    <hyperlink ref="D1876" r:id="rId1054" xr:uid="{F05B4E58-203B-4D7D-9146-D15DFF845E91}"/>
    <hyperlink ref="D1877" r:id="rId1055" xr:uid="{C9ECDE8F-9FC2-453C-B11D-1FB4ECBA1F82}"/>
    <hyperlink ref="D1878" r:id="rId1056" xr:uid="{ABEDDAF4-2FAF-4BB4-9816-E5F3BB207EBB}"/>
    <hyperlink ref="D1879" r:id="rId1057" xr:uid="{6A55D0CA-29E2-4AAA-8AD1-000EFF733BAD}"/>
    <hyperlink ref="D1880" r:id="rId1058" xr:uid="{0296138C-591A-4095-9AF4-FCC92F6BBA90}"/>
    <hyperlink ref="D1884" r:id="rId1059" xr:uid="{0B3D824C-CF55-4AF4-A1A2-767C96E1FE57}"/>
    <hyperlink ref="D1885" r:id="rId1060" xr:uid="{036391DA-3D00-4A5F-ABEF-A2AFBFB9F26F}"/>
    <hyperlink ref="D1888" r:id="rId1061" xr:uid="{D4C4C695-98C0-46B4-B445-152FE019C059}"/>
    <hyperlink ref="D1889" r:id="rId1062" xr:uid="{E9CF1B95-789E-4A1D-9BD3-1D44DBB3553F}"/>
    <hyperlink ref="D1890" r:id="rId1063" xr:uid="{AB8555AD-9116-4C22-80EC-27F9B4D19D1F}"/>
    <hyperlink ref="D1891" r:id="rId1064" xr:uid="{BA39AAC6-CDA5-4C55-901D-73BD7EED1404}"/>
    <hyperlink ref="D1892" r:id="rId1065" xr:uid="{9EEF2831-533A-4E6A-B5C3-F8F623634AC0}"/>
    <hyperlink ref="D1893" r:id="rId1066" xr:uid="{1CFC79A1-9A84-4AB7-876D-5485B6333E9A}"/>
    <hyperlink ref="D1895" r:id="rId1067" xr:uid="{DB7A0CD4-C9B5-4248-809D-5E9099F8AC32}"/>
    <hyperlink ref="D1896" r:id="rId1068" xr:uid="{1C58ECC2-571B-4D89-951D-AE751806F7F4}"/>
    <hyperlink ref="D1898" r:id="rId1069" xr:uid="{E645A889-CAA4-4DFD-A7C1-5109709B8D2D}"/>
    <hyperlink ref="D1899" r:id="rId1070" xr:uid="{013C7F7F-879E-44F9-845A-0D09A892F991}"/>
    <hyperlink ref="D1900" r:id="rId1071" xr:uid="{3F18C8A0-77A9-4B57-87A0-3045F2B1681F}"/>
    <hyperlink ref="D1901" r:id="rId1072" xr:uid="{8E11C17A-2895-4BD0-A045-BB24271B9D2B}"/>
    <hyperlink ref="D1902" r:id="rId1073" xr:uid="{F905ED84-473C-4799-90BF-3AFC5CD6560A}"/>
    <hyperlink ref="D1903" r:id="rId1074" xr:uid="{4A202B41-80C5-4DF3-A709-D94ED7C84420}"/>
    <hyperlink ref="D1904" r:id="rId1075" xr:uid="{FF623B51-BA1B-4837-B229-E19986C92716}"/>
    <hyperlink ref="D1905" r:id="rId1076" xr:uid="{396E8A3E-4043-442D-91C7-CBAE75D4B77C}"/>
    <hyperlink ref="D1906" r:id="rId1077" xr:uid="{152D6AAE-6B3A-4C63-92BD-C1DF6F0E4583}"/>
    <hyperlink ref="D1907" r:id="rId1078" xr:uid="{42A1C843-A0CA-429E-806B-23B91996AD6A}"/>
    <hyperlink ref="D1908" r:id="rId1079" xr:uid="{B334638D-FD82-4B22-8598-FB35AC2F6758}"/>
    <hyperlink ref="D1910" r:id="rId1080" xr:uid="{6BA9C9A4-AFEE-4CBB-9426-904686210DAE}"/>
    <hyperlink ref="D1911" r:id="rId1081" xr:uid="{01AB3B75-2DE1-4478-9576-220CE0962633}"/>
    <hyperlink ref="D1912" r:id="rId1082" xr:uid="{31106934-FE70-485B-8853-AAA060E13989}"/>
    <hyperlink ref="D1913" r:id="rId1083" xr:uid="{8047173E-CEEA-4660-9C82-2A29704ABDF5}"/>
    <hyperlink ref="D1914" r:id="rId1084" xr:uid="{194703DB-DE27-40B2-9A59-474A6FEE7CC8}"/>
    <hyperlink ref="D1916" r:id="rId1085" xr:uid="{EBD4BB09-B70E-4DF5-9F40-2D75CAC45BA6}"/>
    <hyperlink ref="D1917" r:id="rId1086" xr:uid="{5FF7B7E4-9258-4F4B-B32C-61995E637356}"/>
    <hyperlink ref="D1918" r:id="rId1087" xr:uid="{BDB71AC2-E1C2-438E-99A5-ABEF3BC81A54}"/>
    <hyperlink ref="D1919" r:id="rId1088" xr:uid="{526076E7-A5DE-41AC-B061-11E2359502D2}"/>
    <hyperlink ref="D1920" r:id="rId1089" xr:uid="{BAE6B931-C7F1-41CD-8DA5-B82FCEE262E5}"/>
    <hyperlink ref="D1921" r:id="rId1090" xr:uid="{AFEA0D83-8A09-452A-9691-D3E1BB46186B}"/>
    <hyperlink ref="D1922" r:id="rId1091" xr:uid="{23F074B1-C4CB-4712-ACD6-E6DD9F661536}"/>
    <hyperlink ref="D1923" r:id="rId1092" xr:uid="{646F84FA-A298-40C9-A7C3-54A1A52752E7}"/>
    <hyperlink ref="D1883" r:id="rId1093" xr:uid="{1855BBDA-6E98-4CAC-AEB4-3BEFE9DF757B}"/>
    <hyperlink ref="D1915" r:id="rId1094" xr:uid="{993C6AF1-668A-46E0-A410-5080CB5BE9FD}"/>
    <hyperlink ref="D1938" r:id="rId1095" xr:uid="{379564DA-1524-4E55-A1BF-02BE32824077}"/>
    <hyperlink ref="D1936" r:id="rId1096" xr:uid="{F9C57343-8E35-4675-A771-CB6375509228}"/>
    <hyperlink ref="D1939" r:id="rId1097" xr:uid="{D31351F3-7CB4-4D34-9124-42A30436FC79}"/>
    <hyperlink ref="D1926" r:id="rId1098" xr:uid="{B665F8F1-6D89-41E4-9F3E-674EE808509B}"/>
    <hyperlink ref="D1927" r:id="rId1099" xr:uid="{BC8004C9-6FAD-4B6B-8735-C44E49E4B687}"/>
    <hyperlink ref="D1928" r:id="rId1100" xr:uid="{1ECD3AEA-1D96-4CF3-9C91-50A0E3EA9039}"/>
    <hyperlink ref="D1929" r:id="rId1101" xr:uid="{D015B37E-1A4F-4131-AC27-FE5CB269F020}"/>
    <hyperlink ref="D1930" r:id="rId1102" xr:uid="{5B54A412-10A1-4800-B99F-3B3C387C8A0A}"/>
    <hyperlink ref="D1931" r:id="rId1103" xr:uid="{C26D877D-8544-4357-A07F-00714A7CB3B3}"/>
    <hyperlink ref="D1932" r:id="rId1104" xr:uid="{3011E8B0-5E3A-48CB-BBCB-43B7EF3B32A9}"/>
    <hyperlink ref="D1933" r:id="rId1105" xr:uid="{EB1D40FB-900F-45DC-BEFB-290F22096F00}"/>
    <hyperlink ref="D1934" r:id="rId1106" xr:uid="{D54A9B6F-49B2-4022-8984-2EB9FD546E7E}"/>
    <hyperlink ref="D1937" r:id="rId1107" xr:uid="{2FA8E84D-BE2A-4936-A95A-01F145AFC7D3}"/>
    <hyperlink ref="D1949" r:id="rId1108" xr:uid="{6676D722-29EF-41EB-BF99-03C1E2351D13}"/>
    <hyperlink ref="D1941" r:id="rId1109" xr:uid="{DAE53E8D-CDE9-41A4-B3D7-2ABA5860B058}"/>
    <hyperlink ref="D1944" r:id="rId1110" xr:uid="{4FD3986B-B80E-4686-A5C8-E3093766BCD1}"/>
    <hyperlink ref="D1942" r:id="rId1111" xr:uid="{EDA153C7-F8FE-4E8A-8A40-6B3BDD4CE412}"/>
    <hyperlink ref="D1945" r:id="rId1112" xr:uid="{3033EAA4-A2EE-4124-B208-B59E8635EE34}"/>
    <hyperlink ref="D1946" r:id="rId1113" xr:uid="{43725414-9BB4-43C8-BC47-C49283DD903D}"/>
    <hyperlink ref="D1947" r:id="rId1114" xr:uid="{10051B01-DA12-4BB3-8693-6B72DE008807}"/>
    <hyperlink ref="D1943" r:id="rId1115" xr:uid="{BBC34585-6399-44ED-866B-4F1AD3A70BA5}"/>
    <hyperlink ref="D1950" r:id="rId1116" xr:uid="{04C50BED-03BC-465C-822D-79ED5841D8D8}"/>
    <hyperlink ref="D1951" r:id="rId1117" xr:uid="{4628705D-2A5B-4FF0-B95F-0D12579BE733}"/>
    <hyperlink ref="D1952" r:id="rId1118" xr:uid="{74B355D3-57BA-44D3-A117-B2CD3677E452}"/>
    <hyperlink ref="D1953" r:id="rId1119" xr:uid="{D72AF5D8-0E2F-4C3B-B51C-95B97A9AF090}"/>
    <hyperlink ref="D1954" r:id="rId1120" xr:uid="{48E95783-545D-4C0F-9F0A-9589D46C9521}"/>
    <hyperlink ref="D1955" r:id="rId1121" xr:uid="{663404B2-57BC-476D-A1BF-BC27D0E6B7C5}"/>
    <hyperlink ref="D1956" r:id="rId1122" xr:uid="{6FA1003C-ED87-4837-88C0-4AFD71F6008F}"/>
    <hyperlink ref="D1957" r:id="rId1123" xr:uid="{6F674F43-3BD1-4DA0-8220-B15B6BD4BB99}"/>
    <hyperlink ref="D1959" r:id="rId1124" xr:uid="{BC39F328-9C2D-4CC9-BBC9-CD846A3E8247}"/>
    <hyperlink ref="D1958" r:id="rId1125" xr:uid="{374F4877-1F18-43C0-B9F9-B7B39B85119A}"/>
    <hyperlink ref="D1960" r:id="rId1126" xr:uid="{AB005218-FAA6-47FE-B8E2-A11FB3D197FA}"/>
    <hyperlink ref="D1962" r:id="rId1127" xr:uid="{6124299B-D253-45E1-837F-E9914398EE19}"/>
    <hyperlink ref="D1963" r:id="rId1128" xr:uid="{0ECED663-11B1-40CD-A5DA-EE13E9381645}"/>
    <hyperlink ref="D1965" r:id="rId1129" xr:uid="{D9342EA4-E259-479E-B6F1-717875DF5B5D}"/>
    <hyperlink ref="D1967" r:id="rId1130" xr:uid="{E840DD69-5CB7-4D7C-818F-838552356CE2}"/>
    <hyperlink ref="D1969" r:id="rId1131" xr:uid="{0D95250D-AA42-4A5A-9C5D-79020133882C}"/>
    <hyperlink ref="D1970" r:id="rId1132" xr:uid="{9B5DCDF9-3941-4B5F-BD65-B8C082EAC84C}"/>
    <hyperlink ref="D1971" r:id="rId1133" xr:uid="{722C2188-BE73-4C0B-9032-EBB749727401}"/>
    <hyperlink ref="D1972" r:id="rId1134" xr:uid="{70A6F1D9-1569-42C1-92B8-47E9BA41768A}"/>
    <hyperlink ref="D1973" r:id="rId1135" xr:uid="{30E39254-1334-4142-A60A-B2D955210D93}"/>
    <hyperlink ref="D1974" r:id="rId1136" xr:uid="{7567C166-C944-4F41-B61B-F26081B51922}"/>
    <hyperlink ref="D1975" r:id="rId1137" xr:uid="{B48D7FD8-9236-4A92-BFE5-2404C0A294AD}"/>
    <hyperlink ref="D1977" r:id="rId1138" xr:uid="{7B82453E-78B3-4FA8-B6A2-147450743FA1}"/>
    <hyperlink ref="D1976" r:id="rId1139" xr:uid="{9083B531-0DFF-4C50-A4C4-AE998F44893E}"/>
    <hyperlink ref="D1978" r:id="rId1140" xr:uid="{950A7C1E-C248-4D26-80AE-B941C790D585}"/>
    <hyperlink ref="D1979" r:id="rId1141" xr:uid="{195286B3-16EA-44DA-8C79-899A0F1F304C}"/>
    <hyperlink ref="D1980" r:id="rId1142" xr:uid="{078C6086-351D-41D3-B931-AFB557628C77}"/>
    <hyperlink ref="D1981" r:id="rId1143" xr:uid="{CA28D532-4F50-4AC3-BFBB-7D9414D0CF5E}"/>
    <hyperlink ref="D1982" r:id="rId1144" xr:uid="{0BD9E20C-0C59-4CBA-829A-771433D58A4D}"/>
    <hyperlink ref="D1983" r:id="rId1145" xr:uid="{53A21347-5CF9-4CE2-9D74-775E880B022C}"/>
    <hyperlink ref="D1984" r:id="rId1146" xr:uid="{C4C0A5D9-F647-4D91-8E4E-44CE4C808B4B}"/>
    <hyperlink ref="D1985" r:id="rId1147" xr:uid="{D2839092-0DAE-40DA-B923-225231735D93}"/>
    <hyperlink ref="D1968" r:id="rId1148" xr:uid="{F5B0D901-277F-41A1-8531-FC069B3F992D}"/>
    <hyperlink ref="D1966" r:id="rId1149" xr:uid="{550A776F-DB2C-43F0-B257-D5D1B1C36804}"/>
    <hyperlink ref="D1988" r:id="rId1150" xr:uid="{86F1FAE1-8AE9-43D9-884C-F4028E2EB3F8}"/>
    <hyperlink ref="D2005" r:id="rId1151" xr:uid="{47A8C2A5-D481-4500-AC99-0E028E64D94F}"/>
    <hyperlink ref="D2003" r:id="rId1152" display="helene.dufresne@aphp.fr" xr:uid="{4C565C26-882E-4885-B34D-11957D7DBE67}"/>
    <hyperlink ref="D1989" r:id="rId1153" xr:uid="{542CC30F-9513-455C-AE42-76BBD7B3CB4A}"/>
    <hyperlink ref="D1990" r:id="rId1154" xr:uid="{58D73BE1-877D-4C91-BD7F-FAD7061C5334}"/>
    <hyperlink ref="D1991" r:id="rId1155" xr:uid="{04C45DDA-033E-4BFF-9ADE-47697B6458EB}"/>
    <hyperlink ref="D1992" r:id="rId1156" xr:uid="{88D99EFD-87E2-4559-9790-255EB1E37160}"/>
    <hyperlink ref="D1993" r:id="rId1157" xr:uid="{21A059F9-1E52-427B-A819-22AAC5A0EAE6}"/>
    <hyperlink ref="D1994" r:id="rId1158" xr:uid="{E020D674-BAF3-4830-8066-B581703D250C}"/>
    <hyperlink ref="D1995" r:id="rId1159" xr:uid="{7F9F60DB-EFD3-47A0-A4AF-B89F5C63D34C}"/>
    <hyperlink ref="D1996" r:id="rId1160" xr:uid="{DF2E10B3-1DC9-461B-A6CC-78CADC2F4614}"/>
    <hyperlink ref="D1997" r:id="rId1161" xr:uid="{EC5A8C87-BB7F-4919-80B9-422A1698BE09}"/>
    <hyperlink ref="D1998" r:id="rId1162" xr:uid="{1A6D6E92-1858-4910-AFA3-90801ABCC7BB}"/>
    <hyperlink ref="D1999" r:id="rId1163" xr:uid="{86359B10-5744-4EBF-A2AF-175033059B2F}"/>
    <hyperlink ref="D2000" r:id="rId1164" xr:uid="{2529EE03-B997-4FF8-9B7F-24B135BA2506}"/>
    <hyperlink ref="D2001" r:id="rId1165" xr:uid="{FD757DE9-2291-4BC2-BD7A-82CEECC04FBA}"/>
    <hyperlink ref="D2002" r:id="rId1166" xr:uid="{6A02DDAF-B337-498D-935F-FC84CEFF6147}"/>
    <hyperlink ref="D2006" r:id="rId1167" xr:uid="{87E2FAD5-01F7-40EB-8A18-8E9E54CC2B34}"/>
    <hyperlink ref="D2004" r:id="rId1168" xr:uid="{2E7A699A-6B26-419E-A70C-B54760DE5663}"/>
    <hyperlink ref="D2007" r:id="rId1169" xr:uid="{88043501-8556-43B9-AE15-7F5A4BC75422}"/>
    <hyperlink ref="D2009" r:id="rId1170" xr:uid="{CDBBBB65-020D-4959-B83E-5EBB03D05DA7}"/>
    <hyperlink ref="D2010" r:id="rId1171" xr:uid="{F1A85F5A-8054-4349-9B1D-79CC3A771D8F}"/>
    <hyperlink ref="D2011" r:id="rId1172" xr:uid="{5780C794-6AD2-42D5-B1A9-D823E4B3B75A}"/>
    <hyperlink ref="D2021" r:id="rId1173" xr:uid="{C8CE163C-7FA1-410A-9E1A-62C176CB37CF}"/>
    <hyperlink ref="D2024" r:id="rId1174" xr:uid="{6F6BCA69-AC23-41F9-8B25-2DFCA62EEFD3}"/>
    <hyperlink ref="D2029" r:id="rId1175" xr:uid="{7459C901-C29B-4E75-B519-F042582C83A7}"/>
    <hyperlink ref="D2014" r:id="rId1176" xr:uid="{5EA91544-FE83-4DC4-905E-760C5392744C}"/>
    <hyperlink ref="D2025" r:id="rId1177" xr:uid="{868CB9AD-8C6E-410B-A662-5C01D2E42587}"/>
    <hyperlink ref="D2028" r:id="rId1178" xr:uid="{9C844209-59B7-4CCB-A1F6-0823D31762EC}"/>
    <hyperlink ref="D2015" r:id="rId1179" xr:uid="{60BF99EA-6C61-49B6-BC81-2182E53960CB}"/>
    <hyperlink ref="D2030" r:id="rId1180" xr:uid="{875B4FFF-AABE-43B4-AE95-BF28683D2B80}"/>
    <hyperlink ref="D2033" r:id="rId1181" xr:uid="{FF91AB4A-5536-41F6-80D1-E6DE873ED6CF}"/>
    <hyperlink ref="D2016" r:id="rId1182" xr:uid="{BC053234-7529-4D8D-A5DE-F359EC67F4C0}"/>
    <hyperlink ref="D2018" r:id="rId1183" display="mailto:afcollange@gmail.com" xr:uid="{8994E264-74D9-45AC-AED8-C7FA0A3009BE}"/>
    <hyperlink ref="D2019" r:id="rId1184" xr:uid="{6940A238-4E6C-4A19-8209-9BC13B43E522}"/>
    <hyperlink ref="D2022" r:id="rId1185" xr:uid="{567C233E-E1FD-44B6-AD7B-F61682D65C83}"/>
    <hyperlink ref="D2023" r:id="rId1186" display="mailto:leila.guenineche@institutimagine.org" xr:uid="{59D80EB7-2BEC-4FBE-9399-3C7A4452B059}"/>
    <hyperlink ref="D2026" r:id="rId1187" display="mailto:lea.dussauge@institutimagine.org" xr:uid="{26024EC8-A5D8-4269-BAA7-5B977BB8BCA2}"/>
    <hyperlink ref="D2027" r:id="rId1188" display="mailto:andrei.kiselev@institutimagine.org" xr:uid="{DCF72C4B-5144-4CA7-9F18-63E823127CBF}"/>
    <hyperlink ref="D2031" r:id="rId1189" xr:uid="{AA074B15-E24A-4BBD-A4C4-C52084D3AD2C}"/>
    <hyperlink ref="D2035" r:id="rId1190" xr:uid="{F55E3E07-1380-4A74-8475-1D54EDDD7481}"/>
    <hyperlink ref="D2032" r:id="rId1191" xr:uid="{03C12A4F-1FFD-4BE6-89B1-307644C749D0}"/>
    <hyperlink ref="D2017" r:id="rId1192" xr:uid="{472660DC-7C9C-46F6-945A-7F9D4750B8E4}"/>
    <hyperlink ref="D2038" r:id="rId1193" xr:uid="{C472E998-8A54-471B-92B5-EAA4C6A6A6C0}"/>
    <hyperlink ref="D2045" r:id="rId1194" xr:uid="{63F53642-DCE9-4123-815F-F1673726EE26}"/>
    <hyperlink ref="D2036" r:id="rId1195" xr:uid="{1AEF4B35-7CC6-4420-97ED-591D30977CDB}"/>
    <hyperlink ref="D2037" r:id="rId1196" xr:uid="{410AA8E4-1C09-4355-BE8C-2E124C9ADEE3}"/>
    <hyperlink ref="D2042" r:id="rId1197" xr:uid="{07424CA7-F3EF-45F7-90E8-CCCD4D38158C}"/>
    <hyperlink ref="D2040" r:id="rId1198" display="mailto:marianna.parlato@inserm.fr" xr:uid="{D000FEC1-187D-4C6E-A6D6-9175D8BF7461}"/>
    <hyperlink ref="D2041" r:id="rId1199" display="mailto:emmanuelle.six@inserm.fr" xr:uid="{A5D82A05-1FAA-4C4C-A949-5D335802D5DD}"/>
    <hyperlink ref="D2039" r:id="rId1200" xr:uid="{1916EFF2-4B47-4AD1-9D23-7774895438C6}"/>
    <hyperlink ref="D2043" r:id="rId1201" xr:uid="{2CC435AE-F749-4BC5-B5FF-B247D23B066C}"/>
    <hyperlink ref="D2046" r:id="rId1202" xr:uid="{345270AB-543F-470B-AAF7-0A1BA8289F14}"/>
    <hyperlink ref="D2053" r:id="rId1203" xr:uid="{EBF07FE1-3895-4C63-8BE7-304EF9A4A0F4}"/>
    <hyperlink ref="D2050" r:id="rId1204" xr:uid="{7D05A934-22E0-47FD-96D2-EA6468C16643}"/>
    <hyperlink ref="D2049" r:id="rId1205" xr:uid="{E2CC7705-EB98-4736-9657-CB0DD51556D2}"/>
    <hyperlink ref="D2047" r:id="rId1206" xr:uid="{66A032E1-5463-40EE-88CC-63E010E97503}"/>
    <hyperlink ref="D2048" r:id="rId1207" xr:uid="{CFB472B0-FE15-4046-93D5-7C5F311E75DA}"/>
    <hyperlink ref="D2051" r:id="rId1208" xr:uid="{A38BEE0B-C1E2-47E5-A6E9-17B55C07000E}"/>
    <hyperlink ref="D2052" r:id="rId1209" xr:uid="{36F93BE4-E4C3-422D-AC0C-4BB332E54471}"/>
    <hyperlink ref="D2054" r:id="rId1210" xr:uid="{5F76A73D-F720-49D6-99E0-A55C836F59C0}"/>
  </hyperlinks>
  <pageMargins left="0.7" right="0.7" top="0.75" bottom="0.75" header="0.3" footer="0.3"/>
  <drawing r:id="rId12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Ambroise LELEVE</dc:creator>
  <cp:lastModifiedBy>Ambroise LELEVE</cp:lastModifiedBy>
  <dcterms:created xsi:type="dcterms:W3CDTF">2024-01-03T09:09:42Z</dcterms:created>
  <dcterms:modified xsi:type="dcterms:W3CDTF">2026-02-06T14:47:03Z</dcterms:modified>
</cp:coreProperties>
</file>